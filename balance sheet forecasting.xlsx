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ransun/Desktop/project/q1/q1-financial-health-analysis/"/>
    </mc:Choice>
  </mc:AlternateContent>
  <xr:revisionPtr revIDLastSave="0" documentId="13_ncr:1_{C0B39935-FD14-A846-AECF-5B8912588428}" xr6:coauthVersionLast="47" xr6:coauthVersionMax="47" xr10:uidLastSave="{00000000-0000-0000-0000-000000000000}"/>
  <bookViews>
    <workbookView xWindow="19140" yWindow="500" windowWidth="19260" windowHeight="19340" xr2:uid="{5FD120CE-189A-7142-A9BC-9DF14CA740FA}"/>
  </bookViews>
  <sheets>
    <sheet name="pareja09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0" i="4" l="1"/>
  <c r="F260" i="4"/>
  <c r="G260" i="4"/>
  <c r="H260" i="4"/>
  <c r="D260" i="4"/>
  <c r="E221" i="4"/>
  <c r="E218" i="4"/>
  <c r="E217" i="4"/>
  <c r="D161" i="4"/>
  <c r="E250" i="4" l="1"/>
  <c r="D144" i="4" l="1"/>
  <c r="E233" i="4"/>
  <c r="E251" i="4"/>
  <c r="F251" i="4"/>
  <c r="G251" i="4"/>
  <c r="H251" i="4"/>
  <c r="D251" i="4"/>
  <c r="E242" i="4"/>
  <c r="F242" i="4"/>
  <c r="G242" i="4"/>
  <c r="H242" i="4"/>
  <c r="D242" i="4"/>
  <c r="E261" i="4"/>
  <c r="F261" i="4"/>
  <c r="G261" i="4"/>
  <c r="H261" i="4"/>
  <c r="D261" i="4"/>
  <c r="E259" i="4"/>
  <c r="D259" i="4"/>
  <c r="D250" i="4"/>
  <c r="D222" i="4"/>
  <c r="D206" i="4"/>
  <c r="D207" i="4" s="1"/>
  <c r="D152" i="4" s="1"/>
  <c r="D186" i="4"/>
  <c r="D147" i="4"/>
  <c r="D169" i="4"/>
  <c r="D170" i="4" s="1"/>
  <c r="D171" i="4" s="1"/>
  <c r="D162" i="4"/>
  <c r="D226" i="4" l="1"/>
  <c r="D208" i="4"/>
  <c r="D151" i="4"/>
  <c r="D153" i="4" s="1"/>
  <c r="H116" i="4"/>
  <c r="E115" i="4"/>
  <c r="D115" i="4"/>
  <c r="H111" i="4"/>
  <c r="D110" i="4"/>
  <c r="D98" i="4"/>
  <c r="D93" i="4"/>
  <c r="D90" i="4"/>
  <c r="D82" i="4"/>
  <c r="D83" i="4" s="1"/>
  <c r="E51" i="4"/>
  <c r="F51" i="4" s="1"/>
  <c r="G51" i="4" s="1"/>
  <c r="H51" i="4" s="1"/>
  <c r="D77" i="4"/>
  <c r="E76" i="4" s="1"/>
  <c r="D71" i="4"/>
  <c r="D72" i="4"/>
  <c r="F57" i="4"/>
  <c r="F59" i="4" s="1"/>
  <c r="G57" i="4"/>
  <c r="G59" i="4" s="1"/>
  <c r="H57" i="4"/>
  <c r="H58" i="4" s="1"/>
  <c r="E57" i="4"/>
  <c r="E59" i="4" s="1"/>
  <c r="D185" i="4" s="1"/>
  <c r="D55" i="4"/>
  <c r="D52" i="4"/>
  <c r="H49" i="4"/>
  <c r="G49" i="4"/>
  <c r="F49" i="4"/>
  <c r="E49" i="4"/>
  <c r="E92" i="4" s="1"/>
  <c r="H48" i="4"/>
  <c r="G48" i="4"/>
  <c r="F48" i="4"/>
  <c r="E48" i="4"/>
  <c r="E91" i="4" s="1"/>
  <c r="H47" i="4"/>
  <c r="G47" i="4"/>
  <c r="F47" i="4"/>
  <c r="E47" i="4"/>
  <c r="H46" i="4"/>
  <c r="G46" i="4"/>
  <c r="F46" i="4"/>
  <c r="E46" i="4"/>
  <c r="E63" i="4" l="1"/>
  <c r="D245" i="4"/>
  <c r="D100" i="4"/>
  <c r="D217" i="4"/>
  <c r="D148" i="4"/>
  <c r="E64" i="4"/>
  <c r="F64" i="4" s="1"/>
  <c r="G64" i="4" s="1"/>
  <c r="H64" i="4" s="1"/>
  <c r="D136" i="4"/>
  <c r="D138" i="4" s="1"/>
  <c r="F91" i="4"/>
  <c r="G91" i="4" s="1"/>
  <c r="H91" i="4" s="1"/>
  <c r="E83" i="4"/>
  <c r="D85" i="4"/>
  <c r="D241" i="4" s="1"/>
  <c r="D99" i="4"/>
  <c r="F92" i="4"/>
  <c r="G92" i="4" s="1"/>
  <c r="H92" i="4" s="1"/>
  <c r="D78" i="4"/>
  <c r="D84" i="4" s="1"/>
  <c r="D103" i="4" s="1"/>
  <c r="D106" i="4" s="1"/>
  <c r="D117" i="4" s="1"/>
  <c r="D94" i="4"/>
  <c r="E82" i="4"/>
  <c r="F82" i="4" s="1"/>
  <c r="G82" i="4" s="1"/>
  <c r="H82" i="4" s="1"/>
  <c r="F58" i="4"/>
  <c r="E70" i="4"/>
  <c r="E77" i="4"/>
  <c r="G58" i="4"/>
  <c r="E52" i="4"/>
  <c r="F52" i="4" s="1"/>
  <c r="G52" i="4" s="1"/>
  <c r="H52" i="4" s="1"/>
  <c r="H59" i="4"/>
  <c r="E58" i="4"/>
  <c r="E110" i="4" l="1"/>
  <c r="D240" i="4"/>
  <c r="D149" i="4"/>
  <c r="D155" i="4" s="1"/>
  <c r="D225" i="4"/>
  <c r="D129" i="4"/>
  <c r="D221" i="4"/>
  <c r="E69" i="4"/>
  <c r="E222" i="4" s="1"/>
  <c r="D86" i="4"/>
  <c r="D218" i="4" s="1"/>
  <c r="D219" i="4" s="1"/>
  <c r="D223" i="4" s="1"/>
  <c r="D227" i="4" s="1"/>
  <c r="D101" i="4"/>
  <c r="D112" i="4" s="1"/>
  <c r="E78" i="4"/>
  <c r="E84" i="4" s="1"/>
  <c r="E103" i="4" s="1"/>
  <c r="E85" i="4"/>
  <c r="E241" i="4" s="1"/>
  <c r="F53" i="4"/>
  <c r="E53" i="4"/>
  <c r="F76" i="4"/>
  <c r="F83" i="4" s="1"/>
  <c r="F77" i="4"/>
  <c r="G53" i="4"/>
  <c r="D229" i="4" l="1"/>
  <c r="E71" i="4"/>
  <c r="F65" i="4" s="1"/>
  <c r="F69" i="4" s="1"/>
  <c r="E162" i="4"/>
  <c r="E104" i="4"/>
  <c r="E105" i="4"/>
  <c r="D116" i="4" s="1"/>
  <c r="E55" i="4"/>
  <c r="E98" i="4"/>
  <c r="E90" i="4"/>
  <c r="E93" i="4"/>
  <c r="F55" i="4"/>
  <c r="F98" i="4"/>
  <c r="F217" i="4" s="1"/>
  <c r="F90" i="4"/>
  <c r="F93" i="4"/>
  <c r="G55" i="4"/>
  <c r="G90" i="4"/>
  <c r="G93" i="4"/>
  <c r="G98" i="4"/>
  <c r="G217" i="4" s="1"/>
  <c r="G76" i="4"/>
  <c r="G83" i="4" s="1"/>
  <c r="F85" i="4"/>
  <c r="F241" i="4" s="1"/>
  <c r="E86" i="4"/>
  <c r="F78" i="4"/>
  <c r="F84" i="4" s="1"/>
  <c r="F103" i="4" s="1"/>
  <c r="G77" i="4"/>
  <c r="D118" i="4" l="1"/>
  <c r="D128" i="4" s="1"/>
  <c r="F115" i="4"/>
  <c r="D230" i="4"/>
  <c r="D130" i="4"/>
  <c r="D131" i="4" s="1"/>
  <c r="E219" i="4"/>
  <c r="F162" i="4"/>
  <c r="F222" i="4"/>
  <c r="G65" i="4"/>
  <c r="H65" i="4" s="1"/>
  <c r="E136" i="4"/>
  <c r="E138" i="4" s="1"/>
  <c r="E72" i="4"/>
  <c r="E106" i="4"/>
  <c r="E117" i="4" s="1"/>
  <c r="F104" i="4"/>
  <c r="F105" i="4"/>
  <c r="E116" i="4" s="1"/>
  <c r="F99" i="4"/>
  <c r="F100" i="4"/>
  <c r="E99" i="4"/>
  <c r="E100" i="4"/>
  <c r="F94" i="4"/>
  <c r="G99" i="4"/>
  <c r="G100" i="4"/>
  <c r="F86" i="4"/>
  <c r="F218" i="4" s="1"/>
  <c r="F219" i="4" s="1"/>
  <c r="E94" i="4"/>
  <c r="H76" i="4"/>
  <c r="H83" i="4" s="1"/>
  <c r="G85" i="4"/>
  <c r="G241" i="4" s="1"/>
  <c r="G94" i="4"/>
  <c r="G78" i="4"/>
  <c r="G84" i="4" s="1"/>
  <c r="H77" i="4"/>
  <c r="H85" i="4" s="1"/>
  <c r="H241" i="4" s="1"/>
  <c r="H53" i="4"/>
  <c r="G115" i="4" l="1"/>
  <c r="F250" i="4"/>
  <c r="E111" i="4"/>
  <c r="F110" i="4"/>
  <c r="E240" i="4"/>
  <c r="F63" i="4"/>
  <c r="E245" i="4"/>
  <c r="G110" i="4"/>
  <c r="F240" i="4"/>
  <c r="F111" i="4"/>
  <c r="H110" i="4"/>
  <c r="G240" i="4"/>
  <c r="D111" i="4"/>
  <c r="D113" i="4" s="1"/>
  <c r="D124" i="4" s="1"/>
  <c r="D232" i="4"/>
  <c r="F129" i="4"/>
  <c r="F221" i="4"/>
  <c r="F223" i="4" s="1"/>
  <c r="G129" i="4"/>
  <c r="G221" i="4"/>
  <c r="E129" i="4"/>
  <c r="E223" i="4"/>
  <c r="D125" i="4"/>
  <c r="D133" i="4" s="1"/>
  <c r="F70" i="4"/>
  <c r="F71" i="4" s="1"/>
  <c r="F72" i="4" s="1"/>
  <c r="E118" i="4"/>
  <c r="E128" i="4" s="1"/>
  <c r="F101" i="4"/>
  <c r="F112" i="4" s="1"/>
  <c r="E101" i="4"/>
  <c r="E112" i="4" s="1"/>
  <c r="F106" i="4"/>
  <c r="F117" i="4" s="1"/>
  <c r="G101" i="4"/>
  <c r="G112" i="4" s="1"/>
  <c r="G86" i="4"/>
  <c r="G218" i="4" s="1"/>
  <c r="G219" i="4" s="1"/>
  <c r="G103" i="4"/>
  <c r="H55" i="4"/>
  <c r="H93" i="4"/>
  <c r="H90" i="4"/>
  <c r="H98" i="4"/>
  <c r="H217" i="4" s="1"/>
  <c r="H78" i="4"/>
  <c r="H84" i="4" s="1"/>
  <c r="E113" i="4" l="1"/>
  <c r="E124" i="4" s="1"/>
  <c r="E125" i="4" s="1"/>
  <c r="G63" i="4"/>
  <c r="F245" i="4"/>
  <c r="F113" i="4"/>
  <c r="F124" i="4" s="1"/>
  <c r="F125" i="4" s="1"/>
  <c r="D145" i="4"/>
  <c r="D160" i="4" s="1"/>
  <c r="D258" i="4" s="1"/>
  <c r="E161" i="4"/>
  <c r="D233" i="4"/>
  <c r="G66" i="4"/>
  <c r="G70" i="4"/>
  <c r="D189" i="4"/>
  <c r="D252" i="4" s="1"/>
  <c r="D253" i="4" s="1"/>
  <c r="F136" i="4"/>
  <c r="F138" i="4" s="1"/>
  <c r="H94" i="4"/>
  <c r="H86" i="4"/>
  <c r="H218" i="4" s="1"/>
  <c r="H219" i="4" s="1"/>
  <c r="H103" i="4"/>
  <c r="G104" i="4"/>
  <c r="G105" i="4"/>
  <c r="F116" i="4" s="1"/>
  <c r="H99" i="4"/>
  <c r="H240" i="4" s="1"/>
  <c r="H100" i="4"/>
  <c r="F118" i="4" l="1"/>
  <c r="F128" i="4" s="1"/>
  <c r="H115" i="4"/>
  <c r="G250" i="4"/>
  <c r="G111" i="4"/>
  <c r="G113" i="4" s="1"/>
  <c r="G124" i="4" s="1"/>
  <c r="G125" i="4" s="1"/>
  <c r="D194" i="4"/>
  <c r="H129" i="4"/>
  <c r="H221" i="4"/>
  <c r="D157" i="4"/>
  <c r="H66" i="4"/>
  <c r="G69" i="4"/>
  <c r="G162" i="4" s="1"/>
  <c r="E184" i="4"/>
  <c r="E147" i="4" s="1"/>
  <c r="E185" i="4"/>
  <c r="E148" i="4" s="1"/>
  <c r="E186" i="4"/>
  <c r="H101" i="4"/>
  <c r="H112" i="4" s="1"/>
  <c r="H113" i="4" s="1"/>
  <c r="H124" i="4" s="1"/>
  <c r="H125" i="4" s="1"/>
  <c r="G106" i="4"/>
  <c r="G117" i="4" s="1"/>
  <c r="H104" i="4"/>
  <c r="H250" i="4" s="1"/>
  <c r="H105" i="4"/>
  <c r="G116" i="4" s="1"/>
  <c r="D204" i="4" l="1"/>
  <c r="D211" i="4" s="1"/>
  <c r="D255" i="4" s="1"/>
  <c r="D256" i="4" s="1"/>
  <c r="E195" i="4"/>
  <c r="E149" i="4"/>
  <c r="D164" i="4"/>
  <c r="D172" i="4" s="1"/>
  <c r="D243" i="4" s="1"/>
  <c r="G222" i="4"/>
  <c r="G223" i="4" s="1"/>
  <c r="G71" i="4"/>
  <c r="G72" i="4" s="1"/>
  <c r="G245" i="4" s="1"/>
  <c r="E187" i="4"/>
  <c r="G118" i="4"/>
  <c r="G128" i="4" s="1"/>
  <c r="H106" i="4"/>
  <c r="H117" i="4" s="1"/>
  <c r="H118" i="4" s="1"/>
  <c r="H128" i="4" s="1"/>
  <c r="D174" i="4" l="1"/>
  <c r="D176" i="4" s="1"/>
  <c r="D177" i="4" s="1"/>
  <c r="E169" i="4"/>
  <c r="E193" i="4"/>
  <c r="E207" i="4"/>
  <c r="E152" i="4" s="1"/>
  <c r="E225" i="4" s="1"/>
  <c r="F195" i="4"/>
  <c r="G195" i="4" s="1"/>
  <c r="H195" i="4" s="1"/>
  <c r="E206" i="4"/>
  <c r="H70" i="4"/>
  <c r="H63" i="4"/>
  <c r="G136" i="4"/>
  <c r="G138" i="4" s="1"/>
  <c r="H67" i="4"/>
  <c r="H69" i="4" s="1"/>
  <c r="H162" i="4" s="1"/>
  <c r="D239" i="4" l="1"/>
  <c r="D244" i="4" s="1"/>
  <c r="D247" i="4" s="1"/>
  <c r="D180" i="4"/>
  <c r="E208" i="4"/>
  <c r="E151" i="4"/>
  <c r="E153" i="4" s="1"/>
  <c r="E155" i="4" s="1"/>
  <c r="E170" i="4"/>
  <c r="E226" i="4" s="1"/>
  <c r="E227" i="4" s="1"/>
  <c r="E229" i="4" s="1"/>
  <c r="H222" i="4"/>
  <c r="H223" i="4" s="1"/>
  <c r="H71" i="4"/>
  <c r="E230" i="4" l="1"/>
  <c r="E130" i="4"/>
  <c r="E131" i="4" s="1"/>
  <c r="E133" i="4" s="1"/>
  <c r="E144" i="4" s="1"/>
  <c r="E171" i="4"/>
  <c r="H136" i="4"/>
  <c r="H138" i="4" s="1"/>
  <c r="H72" i="4"/>
  <c r="H245" i="4" s="1"/>
  <c r="E232" i="4" l="1"/>
  <c r="F161" i="4" s="1"/>
  <c r="E189" i="4"/>
  <c r="E252" i="4" s="1"/>
  <c r="E253" i="4" s="1"/>
  <c r="F233" i="4" l="1"/>
  <c r="E145" i="4"/>
  <c r="E157" i="4" s="1"/>
  <c r="F184" i="4"/>
  <c r="F147" i="4" s="1"/>
  <c r="F185" i="4"/>
  <c r="F148" i="4" s="1"/>
  <c r="F149" i="4" s="1"/>
  <c r="F186" i="4"/>
  <c r="E160" i="4"/>
  <c r="E196" i="4"/>
  <c r="E164" i="4" l="1"/>
  <c r="E258" i="4"/>
  <c r="F187" i="4"/>
  <c r="E172" i="4"/>
  <c r="E243" i="4" s="1"/>
  <c r="F197" i="4"/>
  <c r="E204" i="4"/>
  <c r="E211" i="4" s="1"/>
  <c r="E255" i="4" s="1"/>
  <c r="E256" i="4" s="1"/>
  <c r="E174" i="4"/>
  <c r="E176" i="4" s="1"/>
  <c r="E177" i="4" s="1"/>
  <c r="E239" i="4" l="1"/>
  <c r="E244" i="4" s="1"/>
  <c r="E247" i="4" s="1"/>
  <c r="F169" i="4"/>
  <c r="F170" i="4" s="1"/>
  <c r="F226" i="4" s="1"/>
  <c r="E180" i="4"/>
  <c r="F207" i="4"/>
  <c r="F152" i="4" s="1"/>
  <c r="F225" i="4" s="1"/>
  <c r="F227" i="4" s="1"/>
  <c r="F229" i="4" s="1"/>
  <c r="F193" i="4"/>
  <c r="G197" i="4"/>
  <c r="H197" i="4" s="1"/>
  <c r="F206" i="4"/>
  <c r="F151" i="4" s="1"/>
  <c r="F171" i="4" l="1"/>
  <c r="F153" i="4"/>
  <c r="F155" i="4" s="1"/>
  <c r="F230" i="4"/>
  <c r="F130" i="4"/>
  <c r="F131" i="4" s="1"/>
  <c r="F133" i="4" s="1"/>
  <c r="F144" i="4" s="1"/>
  <c r="F208" i="4"/>
  <c r="F145" i="4" l="1"/>
  <c r="F232" i="4"/>
  <c r="G161" i="4" s="1"/>
  <c r="G233" i="4" l="1"/>
  <c r="F259" i="4"/>
  <c r="F160" i="4"/>
  <c r="F198" i="4"/>
  <c r="F204" i="4" s="1"/>
  <c r="F211" i="4" s="1"/>
  <c r="F255" i="4" s="1"/>
  <c r="F189" i="4"/>
  <c r="F252" i="4" s="1"/>
  <c r="F253" i="4" s="1"/>
  <c r="F256" i="4" s="1"/>
  <c r="F157" i="4"/>
  <c r="F164" i="4" l="1"/>
  <c r="F258" i="4"/>
  <c r="F172" i="4"/>
  <c r="F243" i="4" s="1"/>
  <c r="G193" i="4"/>
  <c r="G207" i="4"/>
  <c r="G152" i="4" s="1"/>
  <c r="G185" i="4"/>
  <c r="G186" i="4"/>
  <c r="G184" i="4"/>
  <c r="G147" i="4" s="1"/>
  <c r="G169" i="4" l="1"/>
  <c r="G170" i="4" s="1"/>
  <c r="G226" i="4" s="1"/>
  <c r="F174" i="4"/>
  <c r="F176" i="4" s="1"/>
  <c r="F177" i="4" s="1"/>
  <c r="G148" i="4"/>
  <c r="G225" i="4" s="1"/>
  <c r="G187" i="4"/>
  <c r="G227" i="4" l="1"/>
  <c r="G229" i="4" s="1"/>
  <c r="G171" i="4"/>
  <c r="F180" i="4"/>
  <c r="F239" i="4"/>
  <c r="F244" i="4" s="1"/>
  <c r="F247" i="4" s="1"/>
  <c r="G149" i="4"/>
  <c r="G230" i="4" l="1"/>
  <c r="G130" i="4"/>
  <c r="G131" i="4" s="1"/>
  <c r="G133" i="4" s="1"/>
  <c r="G259" i="4"/>
  <c r="G144" i="4" l="1"/>
  <c r="G189" i="4" s="1"/>
  <c r="G232" i="4"/>
  <c r="H161" i="4" s="1"/>
  <c r="G252" i="4" l="1"/>
  <c r="G253" i="4" s="1"/>
  <c r="H186" i="4"/>
  <c r="H184" i="4"/>
  <c r="H147" i="4" s="1"/>
  <c r="H185" i="4"/>
  <c r="H233" i="4"/>
  <c r="H148" i="4"/>
  <c r="H149" i="4" s="1"/>
  <c r="H187" i="4"/>
  <c r="G206" i="4" l="1"/>
  <c r="G151" i="4" s="1"/>
  <c r="G153" i="4" s="1"/>
  <c r="G155" i="4" s="1"/>
  <c r="G145" i="4" s="1"/>
  <c r="G157" i="4" l="1"/>
  <c r="G160" i="4"/>
  <c r="G200" i="4"/>
  <c r="G208" i="4"/>
  <c r="G164" i="4" l="1"/>
  <c r="G172" i="4" s="1"/>
  <c r="G243" i="4" s="1"/>
  <c r="G258" i="4"/>
  <c r="H201" i="4"/>
  <c r="H206" i="4" s="1"/>
  <c r="H151" i="4" s="1"/>
  <c r="G204" i="4"/>
  <c r="G211" i="4" s="1"/>
  <c r="G255" i="4" s="1"/>
  <c r="G256" i="4" s="1"/>
  <c r="H193" i="4" l="1"/>
  <c r="H207" i="4"/>
  <c r="G174" i="4"/>
  <c r="G176" i="4" s="1"/>
  <c r="G177" i="4" s="1"/>
  <c r="H169" i="4"/>
  <c r="G239" i="4" l="1"/>
  <c r="G244" i="4" s="1"/>
  <c r="G247" i="4" s="1"/>
  <c r="H152" i="4"/>
  <c r="H208" i="4"/>
  <c r="H170" i="4"/>
  <c r="H226" i="4" s="1"/>
  <c r="G180" i="4"/>
  <c r="H171" i="4" l="1"/>
  <c r="H225" i="4"/>
  <c r="H227" i="4" s="1"/>
  <c r="H229" i="4" s="1"/>
  <c r="H130" i="4" s="1"/>
  <c r="H131" i="4" s="1"/>
  <c r="H133" i="4" s="1"/>
  <c r="H144" i="4" s="1"/>
  <c r="H153" i="4"/>
  <c r="H155" i="4" s="1"/>
  <c r="H145" i="4" l="1"/>
  <c r="H230" i="4"/>
  <c r="D262" i="4" l="1"/>
  <c r="D264" i="4" s="1"/>
  <c r="D266" i="4" s="1"/>
  <c r="E262" i="4"/>
  <c r="E264" i="4" s="1"/>
  <c r="E266" i="4" s="1"/>
  <c r="F262" i="4"/>
  <c r="F264" i="4" s="1"/>
  <c r="F266" i="4" s="1"/>
  <c r="G262" i="4"/>
  <c r="G264" i="4" s="1"/>
  <c r="G266" i="4" s="1"/>
  <c r="H160" i="4"/>
  <c r="H202" i="4"/>
  <c r="H204" i="4" s="1"/>
  <c r="H211" i="4" s="1"/>
  <c r="H255" i="4" s="1"/>
  <c r="H232" i="4"/>
  <c r="H259" i="4" s="1"/>
  <c r="H157" i="4"/>
  <c r="H189" i="4"/>
  <c r="H252" i="4" s="1"/>
  <c r="H253" i="4" s="1"/>
  <c r="H256" i="4" l="1"/>
  <c r="H164" i="4"/>
  <c r="H258" i="4"/>
  <c r="H262" i="4"/>
  <c r="H264" i="4" s="1"/>
  <c r="H172" i="4"/>
  <c r="H243" i="4" s="1"/>
  <c r="H174" i="4" l="1"/>
  <c r="H176" i="4" s="1"/>
  <c r="H177" i="4" s="1"/>
  <c r="H180" i="4"/>
  <c r="H239" i="4"/>
  <c r="H244" i="4" s="1"/>
  <c r="H247" i="4" s="1"/>
  <c r="H266" i="4" s="1"/>
</calcChain>
</file>

<file path=xl/sharedStrings.xml><?xml version="1.0" encoding="utf-8"?>
<sst xmlns="http://schemas.openxmlformats.org/spreadsheetml/2006/main" count="239" uniqueCount="228">
  <si>
    <t>module 1: operating activities</t>
  </si>
  <si>
    <t>inflow of loans</t>
  </si>
  <si>
    <t>ST loan</t>
  </si>
  <si>
    <t>payment of loans</t>
  </si>
  <si>
    <t>principal ST loan</t>
  </si>
  <si>
    <t>NCB of financing activities</t>
  </si>
  <si>
    <t>NCB of discretionary transactions</t>
  </si>
  <si>
    <t>ending balance</t>
  </si>
  <si>
    <t>beginning balance</t>
  </si>
  <si>
    <t>income statement</t>
  </si>
  <si>
    <t>balance sheet</t>
  </si>
  <si>
    <t>liabilities and equity</t>
  </si>
  <si>
    <t>[input] exogenous and endogenous input data</t>
  </si>
  <si>
    <t xml:space="preserve">year </t>
  </si>
  <si>
    <t>fixed assts</t>
  </si>
  <si>
    <t>lineal depreciation (4 years)</t>
  </si>
  <si>
    <t>depreciation each year = fixed assets/ linal depreciations</t>
  </si>
  <si>
    <t>corporate tax rate</t>
  </si>
  <si>
    <t>initial inventory (units)</t>
  </si>
  <si>
    <t>initial purchase price</t>
  </si>
  <si>
    <t>estimated overhead expenses</t>
  </si>
  <si>
    <t>administrative and sales payroll</t>
  </si>
  <si>
    <t>long-term (LT) years Loan 3 (M years)</t>
  </si>
  <si>
    <t>short-term loan 2 (1 year)</t>
  </si>
  <si>
    <t xml:space="preserve">inflation rate </t>
  </si>
  <si>
    <t>real increase in selling price</t>
  </si>
  <si>
    <t>real increase in purchase price</t>
  </si>
  <si>
    <t>real increase in overhead expenses</t>
  </si>
  <si>
    <t>real increase in payroll expenses</t>
  </si>
  <si>
    <t>increase in sales volume (units)</t>
  </si>
  <si>
    <t>real interest rate</t>
  </si>
  <si>
    <t>risk premium for cost of debt</t>
  </si>
  <si>
    <t xml:space="preserve">risk premium for return on ST investment </t>
  </si>
  <si>
    <t>[input] policy and foal formualation</t>
  </si>
  <si>
    <t>promotion and advertising as a fraction of sales</t>
  </si>
  <si>
    <t>inventory as % of volume in units sold</t>
  </si>
  <si>
    <t>accounts receiable as % of sales</t>
  </si>
  <si>
    <t>advance payments from customer as % of next year sales</t>
  </si>
  <si>
    <t>accounts payable as % of purchases</t>
  </si>
  <si>
    <t>advance payments to suppliers as a % of next year purchase</t>
  </si>
  <si>
    <t>payout ratio</t>
  </si>
  <si>
    <t>% of sales as cash</t>
  </si>
  <si>
    <t>% of financing with debt, the rest is financed by equity</t>
  </si>
  <si>
    <t>minimum cash required for initial year 
(based on expenses of year 1)</t>
  </si>
  <si>
    <t>sellling commissions</t>
  </si>
  <si>
    <t>stock repurchase as a % of depreciation</t>
  </si>
  <si>
    <t>[input] market research data</t>
  </si>
  <si>
    <t>selling price</t>
  </si>
  <si>
    <t xml:space="preserve">elasticity b </t>
  </si>
  <si>
    <t>elasticity coefficient (b0)</t>
  </si>
  <si>
    <t>selling</t>
  </si>
  <si>
    <t>purchasing</t>
  </si>
  <si>
    <t>overhead expenses</t>
  </si>
  <si>
    <t>payroll expenses</t>
  </si>
  <si>
    <t>minimal cash required</t>
  </si>
  <si>
    <t>sales in units</t>
  </si>
  <si>
    <t>total sales revenue</t>
  </si>
  <si>
    <t>[intermediate] nominal increase in prices and expenses, minmum cash and increase in volume (units),  forecasting volume, prices and sales revenues</t>
  </si>
  <si>
    <t xml:space="preserve">(nominal interest rate) risk free rate, Rf </t>
  </si>
  <si>
    <t>return on ST investment (nominal)</t>
  </si>
  <si>
    <t>cost of debt, Kd (nominal)</t>
  </si>
  <si>
    <t>[intermediate] depreciation schedule and investment in fixed assets</t>
  </si>
  <si>
    <t>beginning net fixed assets</t>
  </si>
  <si>
    <t>annual depreciation for invest ment in year 0</t>
  </si>
  <si>
    <t>annual depreciation for invest ment in year 1</t>
  </si>
  <si>
    <t>annual depreciation for invest ment in year 2</t>
  </si>
  <si>
    <t>annual depreciation for invest ment in year 3</t>
  </si>
  <si>
    <t xml:space="preserve">annual depreciation </t>
  </si>
  <si>
    <t>investment in fixed assets for growth</t>
  </si>
  <si>
    <t>new fixed assets</t>
  </si>
  <si>
    <t>net fixed assets</t>
  </si>
  <si>
    <t>因为下一年sales增加，今年就需要买足够的asset</t>
  </si>
  <si>
    <t>[intermediate] inventory and purchases in units</t>
  </si>
  <si>
    <t>假设year0就是只买设备 但还没卖</t>
  </si>
  <si>
    <t>[intermediate] inventory valuation FIFO (inventory price)</t>
  </si>
  <si>
    <t>unit cost</t>
  </si>
  <si>
    <t>COGS</t>
  </si>
  <si>
    <t>[intermediate] administrative and selling expenses</t>
  </si>
  <si>
    <t>sales commisions</t>
  </si>
  <si>
    <t>advertising expenses</t>
  </si>
  <si>
    <t>A&amp;S expenses</t>
  </si>
  <si>
    <t>sale units</t>
  </si>
  <si>
    <t>initial inventory value</t>
  </si>
  <si>
    <t>purchases value</t>
  </si>
  <si>
    <t>final inventory value</t>
  </si>
  <si>
    <t>final inventory units</t>
  </si>
  <si>
    <t>initial inventory units</t>
  </si>
  <si>
    <t>purchases units</t>
  </si>
  <si>
    <t>initial value按照之前的cost*unit算</t>
  </si>
  <si>
    <t>total sales revenues</t>
  </si>
  <si>
    <t>credit sales</t>
  </si>
  <si>
    <t>payment in advance</t>
  </si>
  <si>
    <t>total purchases</t>
  </si>
  <si>
    <t>purchaes on credit</t>
  </si>
  <si>
    <t>accounts receivable</t>
  </si>
  <si>
    <t>advance payments</t>
  </si>
  <si>
    <t>total inflows</t>
  </si>
  <si>
    <t>payment of accounts payable</t>
  </si>
  <si>
    <t>advance payments to suppliers</t>
  </si>
  <si>
    <t>total outflows</t>
  </si>
  <si>
    <t>[intermediate] sales and purchases disaggregated according to the timing of flows,  flows from sales and purchases (cash)</t>
  </si>
  <si>
    <t xml:space="preserve">cash adjust according to the time </t>
  </si>
  <si>
    <t>revenue in cash</t>
  </si>
  <si>
    <t>purchases paid in cash</t>
  </si>
  <si>
    <t>total cash inflows</t>
  </si>
  <si>
    <t>sales revenues in cash from current year</t>
  </si>
  <si>
    <t>purchases paid in cash the current year</t>
  </si>
  <si>
    <t>[cash budget] module 1 operating activities</t>
  </si>
  <si>
    <t>cash inflows</t>
  </si>
  <si>
    <t>inflows from sales</t>
  </si>
  <si>
    <t>cash outflows</t>
  </si>
  <si>
    <t>payments for purchases</t>
  </si>
  <si>
    <t>administrative and selling expenses</t>
  </si>
  <si>
    <t>income taxes</t>
  </si>
  <si>
    <t>total cash outflows</t>
  </si>
  <si>
    <t>operating NCB</t>
  </si>
  <si>
    <t>[cash budget] module 2 investing activities</t>
  </si>
  <si>
    <t>investment in fixed assets</t>
  </si>
  <si>
    <t>[cash budget] module 3 external financing</t>
  </si>
  <si>
    <t>LT loan</t>
  </si>
  <si>
    <t>interest ST loan</t>
  </si>
  <si>
    <t>total ST loan payment</t>
  </si>
  <si>
    <t>principal LT loan</t>
  </si>
  <si>
    <t>interest LT loan</t>
  </si>
  <si>
    <t>total loan payment</t>
  </si>
  <si>
    <t>[cash budget] module 4 transactions with owners</t>
  </si>
  <si>
    <t>dividends payment</t>
  </si>
  <si>
    <t>[cash budget] module 5 discretionary transactions</t>
  </si>
  <si>
    <t>redemption of ST investment</t>
  </si>
  <si>
    <t>return from ST investment</t>
  </si>
  <si>
    <t>total infow from ST investment</t>
  </si>
  <si>
    <t>ST investments</t>
  </si>
  <si>
    <t>year NCB</t>
  </si>
  <si>
    <t>cumulated NCB</t>
  </si>
  <si>
    <t>checking cumulated NCB and minimum cash target</t>
  </si>
  <si>
    <t>[debt schedule] short-term loan schedules</t>
  </si>
  <si>
    <t>[debt schedule] long-term loan schedules</t>
  </si>
  <si>
    <t>beginning balance LT debt</t>
  </si>
  <si>
    <t>LT loan yr 0</t>
  </si>
  <si>
    <t>Principal payment yr 0</t>
  </si>
  <si>
    <t>new loan yr 1</t>
  </si>
  <si>
    <t>Principal payment yr 1</t>
  </si>
  <si>
    <t>new loan yr 2</t>
  </si>
  <si>
    <t>Principal payment yr 2</t>
  </si>
  <si>
    <t>new loan yr 3</t>
  </si>
  <si>
    <t>Principal payment yr 3</t>
  </si>
  <si>
    <t>new loan yr 4</t>
  </si>
  <si>
    <t>new debt LT</t>
  </si>
  <si>
    <t>total principal payment LT</t>
  </si>
  <si>
    <t>ending balance LT debt</t>
  </si>
  <si>
    <t>sales revenues</t>
  </si>
  <si>
    <t>gross income</t>
  </si>
  <si>
    <t>depreciation</t>
  </si>
  <si>
    <t>EBIT (earnings before tax and interest)</t>
  </si>
  <si>
    <t>interest payments</t>
  </si>
  <si>
    <t>EBT (earnings before tax)</t>
  </si>
  <si>
    <t>net income</t>
  </si>
  <si>
    <t>next year dividends</t>
  </si>
  <si>
    <t>cumulated retained earnings</t>
  </si>
  <si>
    <t>asset</t>
  </si>
  <si>
    <t>cash CB</t>
  </si>
  <si>
    <t>AR (accounts receivable) IT</t>
  </si>
  <si>
    <t>inventory IT</t>
  </si>
  <si>
    <t>APP (advance payments paid)</t>
  </si>
  <si>
    <t>ST investment CB</t>
  </si>
  <si>
    <t>current assets</t>
  </si>
  <si>
    <t>net fixed assets IT</t>
  </si>
  <si>
    <t>AP (accounts payable) IT</t>
  </si>
  <si>
    <t>APR (advance payments received)</t>
  </si>
  <si>
    <t>short-term debt CB</t>
  </si>
  <si>
    <t>current liabilities</t>
  </si>
  <si>
    <t>long-term debt CB</t>
  </si>
  <si>
    <t>total liabilities</t>
  </si>
  <si>
    <t>equity investment CB</t>
  </si>
  <si>
    <t>retained earnings IS</t>
  </si>
  <si>
    <t>current year NI (net income)</t>
  </si>
  <si>
    <t xml:space="preserve">repurchase of equity </t>
  </si>
  <si>
    <t>check difference</t>
  </si>
  <si>
    <t>total equity</t>
  </si>
  <si>
    <t>目前未知income tax但也先算在total cash outflow里</t>
  </si>
  <si>
    <t>total LT loan payment</t>
  </si>
  <si>
    <t>invested equity</t>
  </si>
  <si>
    <t>ST interest payment</t>
  </si>
  <si>
    <t>ST principal payments</t>
  </si>
  <si>
    <t>ST total payment</t>
  </si>
  <si>
    <t>total LT interest</t>
  </si>
  <si>
    <t>LT total payment</t>
  </si>
  <si>
    <t>NCB with owners</t>
  </si>
  <si>
    <t>repurchase of stock</t>
  </si>
  <si>
    <t>ratio with depreciation</t>
  </si>
  <si>
    <t>取回上一年的ST 投资</t>
  </si>
  <si>
    <t>check cumulated NCB with minimal cash target</t>
  </si>
  <si>
    <t>NCB of investment in assets</t>
  </si>
  <si>
    <t>现有short loan,只考虑operation ncb, short loan= accumulated NCB+operational NCB-ST total payment-minimal cash</t>
  </si>
  <si>
    <t>LT loan=70%  accumulated NCB + operation NCB + NCB of investment in assets+cash from ST loan+ST investment-total loan payment-dividends-repurchase stock -minimal cash</t>
  </si>
  <si>
    <t>?? 为什么short loan是减去total ST loan payment，而不是所有的？这种情况是假设了LT payment会继续被LT/equity handle？</t>
  </si>
  <si>
    <t>一年还完</t>
  </si>
  <si>
    <t>实测ST loan减去所有loan payment结果一样</t>
  </si>
  <si>
    <t>下一年才减去</t>
  </si>
  <si>
    <t>total asset</t>
  </si>
  <si>
    <t>customer提前付的，付了钱还没给货，相当于借钱</t>
  </si>
  <si>
    <t>付给supplier的，换成了asset，现金转化为未来的资产</t>
  </si>
  <si>
    <t>和公司的决策流程有关（见图片）</t>
  </si>
  <si>
    <t>revenue现金的变化，总的减去预付款及credit</t>
  </si>
  <si>
    <t>实际的cash变化：advance会提前一年收到 作为liability，accounts receivable会后一年收到变成cash（但是会在当年就记入balance sheet）</t>
  </si>
  <si>
    <t>这个变化当年记在了balance sheet上，但是第二年才反应在现金层面</t>
  </si>
  <si>
    <t>上一年ending balance loan * norminal interest rate this year （real interest rate is fixed）</t>
  </si>
  <si>
    <t>减去去年记录的dividend 时间推后</t>
  </si>
  <si>
    <t>tax可以在income statement中算出</t>
  </si>
  <si>
    <t>需要从cash budget中算出</t>
  </si>
  <si>
    <t>计算上一年积累的</t>
  </si>
  <si>
    <t>net income in BS = net income in income statement</t>
  </si>
  <si>
    <t>大概步骤</t>
  </si>
  <si>
    <t>1. 计算intermediate table</t>
  </si>
  <si>
    <t>sales revenue, min cash…</t>
  </si>
  <si>
    <t>depreciation each year</t>
  </si>
  <si>
    <t>purchaes units, COGS</t>
  </si>
  <si>
    <t>credit and advance payment</t>
  </si>
  <si>
    <t>2. 一起计算cash budget和income statement</t>
  </si>
  <si>
    <t>long term loan schedule</t>
  </si>
  <si>
    <t>short term loan schedule</t>
  </si>
  <si>
    <t>module 2: fixed asset investment</t>
  </si>
  <si>
    <t>module 3: loans</t>
  </si>
  <si>
    <t>module 4: owner invested equity…</t>
  </si>
  <si>
    <t>module 5: short term investment</t>
  </si>
  <si>
    <t>注意 module里有些东西是需要从income statement知道的，比如dividends，loan interest，tax</t>
  </si>
  <si>
    <t>在有cash budget 0之后，计算loan interest 1， income statement 1</t>
  </si>
  <si>
    <t>再计算cash budget 1，load schedule1，继续 loan interest2， income statement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</si>
</sst>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0.0000"/>
  </numFmts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3"/>
      <color rgb="FF0E284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2" tint="-0.249977111117893"/>
      <name val="Aptos Narrow"/>
      <family val="2"/>
      <scheme val="minor"/>
    </font>
    <font>
      <sz val="12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rgb="FF64BEE6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6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3" applyNumberFormat="0" applyFill="0" applyAlignment="0" applyProtection="0"/>
    <xf numFmtId="0" fontId="7" fillId="2" borderId="4" applyNumberFormat="0" applyAlignment="0" applyProtection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2" xfId="0" applyFont="1" applyBorder="1"/>
    <xf numFmtId="0" fontId="4" fillId="0" borderId="0" xfId="0" applyFont="1"/>
    <xf numFmtId="0" fontId="2" fillId="0" borderId="1" xfId="0" applyFont="1" applyBorder="1"/>
    <xf numFmtId="2" fontId="0" fillId="0" borderId="0" xfId="1" applyNumberFormat="1" applyFont="1"/>
    <xf numFmtId="9" fontId="0" fillId="0" borderId="0" xfId="2" applyFont="1"/>
    <xf numFmtId="164" fontId="0" fillId="0" borderId="0" xfId="2" applyNumberFormat="1" applyFont="1"/>
    <xf numFmtId="164" fontId="0" fillId="0" borderId="0" xfId="1" applyNumberFormat="1" applyFont="1"/>
    <xf numFmtId="0" fontId="0" fillId="0" borderId="0" xfId="0" applyAlignment="1">
      <alignment wrapText="1"/>
    </xf>
    <xf numFmtId="2" fontId="0" fillId="0" borderId="0" xfId="0" applyNumberFormat="1"/>
    <xf numFmtId="165" fontId="0" fillId="0" borderId="0" xfId="2" applyNumberFormat="1" applyFont="1"/>
    <xf numFmtId="165" fontId="0" fillId="0" borderId="0" xfId="0" applyNumberFormat="1"/>
    <xf numFmtId="0" fontId="0" fillId="0" borderId="1" xfId="0" applyBorder="1"/>
    <xf numFmtId="2" fontId="0" fillId="0" borderId="1" xfId="0" applyNumberFormat="1" applyBorder="1"/>
    <xf numFmtId="165" fontId="0" fillId="0" borderId="1" xfId="0" applyNumberFormat="1" applyBorder="1"/>
    <xf numFmtId="0" fontId="6" fillId="0" borderId="3" xfId="3"/>
    <xf numFmtId="0" fontId="7" fillId="2" borderId="5" xfId="4" applyBorder="1"/>
    <xf numFmtId="2" fontId="1" fillId="0" borderId="0" xfId="0" applyNumberFormat="1" applyFont="1"/>
    <xf numFmtId="0" fontId="9" fillId="0" borderId="0" xfId="0" applyFont="1"/>
    <xf numFmtId="0" fontId="10" fillId="0" borderId="0" xfId="0" applyFont="1"/>
    <xf numFmtId="0" fontId="8" fillId="0" borderId="0" xfId="5"/>
    <xf numFmtId="2" fontId="8" fillId="0" borderId="0" xfId="5" applyNumberFormat="1"/>
  </cellXfs>
  <cellStyles count="6">
    <cellStyle name="Calculation" xfId="4" builtinId="22"/>
    <cellStyle name="Comma" xfId="1" builtinId="3"/>
    <cellStyle name="Heading 3" xfId="3" builtinId="18"/>
    <cellStyle name="Normal" xfId="0" builtinId="0"/>
    <cellStyle name="Percent" xfId="2" builtinId="5"/>
    <cellStyle name="Warning Text" xfId="5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685802</xdr:colOff>
      <xdr:row>145</xdr:row>
      <xdr:rowOff>152400</xdr:rowOff>
    </xdr:from>
    <xdr:to>
      <xdr:col>22</xdr:col>
      <xdr:colOff>161339</xdr:colOff>
      <xdr:row>213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61051-98EE-FB41-DFB3-BE969C13E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74902" y="30035500"/>
          <a:ext cx="7730537" cy="137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E659-C41C-EC43-934C-17B0AEC90D7F}">
  <dimension ref="A2:M266"/>
  <sheetViews>
    <sheetView tabSelected="1" workbookViewId="0">
      <pane xSplit="2" ySplit="4" topLeftCell="L5" activePane="bottomRight" state="frozen"/>
      <selection pane="topRight" activeCell="C1" sqref="C1"/>
      <selection pane="bottomLeft" activeCell="A5" sqref="A5"/>
      <selection pane="bottomRight" activeCell="M28" sqref="M28"/>
    </sheetView>
  </sheetViews>
  <sheetFormatPr baseColWidth="10" defaultRowHeight="16" x14ac:dyDescent="0.2"/>
  <cols>
    <col min="1" max="1" width="25.83203125" customWidth="1"/>
    <col min="2" max="2" width="54.6640625" customWidth="1"/>
    <col min="6" max="6" width="11.33203125" bestFit="1" customWidth="1"/>
  </cols>
  <sheetData>
    <row r="2" spans="1:13" x14ac:dyDescent="0.2">
      <c r="A2" t="s">
        <v>12</v>
      </c>
    </row>
    <row r="4" spans="1:13" x14ac:dyDescent="0.2">
      <c r="B4" t="s">
        <v>13</v>
      </c>
      <c r="D4">
        <v>0</v>
      </c>
      <c r="E4">
        <v>1</v>
      </c>
      <c r="F4">
        <v>2</v>
      </c>
      <c r="G4">
        <v>3</v>
      </c>
      <c r="H4">
        <v>4</v>
      </c>
    </row>
    <row r="5" spans="1:13" x14ac:dyDescent="0.2">
      <c r="D5" s="6"/>
      <c r="E5" s="6"/>
      <c r="F5" s="6"/>
      <c r="G5" s="6"/>
      <c r="H5" s="6"/>
    </row>
    <row r="6" spans="1:13" x14ac:dyDescent="0.2">
      <c r="B6" t="s">
        <v>14</v>
      </c>
      <c r="D6" s="6">
        <v>45</v>
      </c>
      <c r="E6" s="6"/>
      <c r="F6" s="6"/>
      <c r="G6" s="6"/>
      <c r="H6" s="6"/>
    </row>
    <row r="7" spans="1:13" x14ac:dyDescent="0.2">
      <c r="B7" t="s">
        <v>15</v>
      </c>
      <c r="D7" s="6">
        <v>4</v>
      </c>
      <c r="E7" s="6"/>
      <c r="F7" s="6" t="s">
        <v>16</v>
      </c>
      <c r="G7" s="6"/>
      <c r="H7" s="6"/>
    </row>
    <row r="8" spans="1:13" x14ac:dyDescent="0.2">
      <c r="D8" s="6"/>
      <c r="E8" s="6"/>
      <c r="F8" s="6"/>
      <c r="G8" s="6"/>
      <c r="H8" s="6"/>
      <c r="L8" t="s">
        <v>212</v>
      </c>
      <c r="M8" t="s">
        <v>213</v>
      </c>
    </row>
    <row r="9" spans="1:13" x14ac:dyDescent="0.2">
      <c r="B9" t="s">
        <v>17</v>
      </c>
      <c r="D9" s="7">
        <v>0.35</v>
      </c>
      <c r="E9" s="6"/>
      <c r="F9" s="6"/>
      <c r="G9" s="6"/>
      <c r="H9" s="6"/>
      <c r="M9" t="s">
        <v>214</v>
      </c>
    </row>
    <row r="10" spans="1:13" x14ac:dyDescent="0.2">
      <c r="B10" t="s">
        <v>18</v>
      </c>
      <c r="D10" s="6">
        <v>4</v>
      </c>
      <c r="E10" s="6"/>
      <c r="F10" s="6"/>
      <c r="G10" s="6"/>
      <c r="H10" s="6"/>
      <c r="M10" t="s">
        <v>215</v>
      </c>
    </row>
    <row r="11" spans="1:13" x14ac:dyDescent="0.2">
      <c r="B11" t="s">
        <v>19</v>
      </c>
      <c r="D11" s="6">
        <v>5</v>
      </c>
      <c r="E11" s="6"/>
      <c r="F11" s="6"/>
      <c r="G11" s="6"/>
      <c r="H11" s="6"/>
      <c r="M11" t="s">
        <v>216</v>
      </c>
    </row>
    <row r="12" spans="1:13" x14ac:dyDescent="0.2">
      <c r="B12" t="s">
        <v>20</v>
      </c>
      <c r="D12" s="6">
        <v>22</v>
      </c>
      <c r="E12" s="6"/>
      <c r="F12" s="6"/>
      <c r="G12" s="6"/>
      <c r="H12" s="6"/>
      <c r="M12" t="s">
        <v>80</v>
      </c>
    </row>
    <row r="13" spans="1:13" x14ac:dyDescent="0.2">
      <c r="B13" t="s">
        <v>21</v>
      </c>
      <c r="D13" s="6">
        <v>24</v>
      </c>
      <c r="E13" s="6"/>
      <c r="F13" s="6"/>
      <c r="G13" s="6"/>
      <c r="H13" s="6"/>
      <c r="M13" t="s">
        <v>217</v>
      </c>
    </row>
    <row r="14" spans="1:13" x14ac:dyDescent="0.2">
      <c r="D14" s="6"/>
      <c r="E14" s="6"/>
      <c r="F14" s="6"/>
      <c r="G14" s="6"/>
      <c r="H14" s="6"/>
    </row>
    <row r="15" spans="1:13" x14ac:dyDescent="0.2">
      <c r="B15" t="s">
        <v>22</v>
      </c>
      <c r="D15" s="6">
        <v>10</v>
      </c>
      <c r="E15" s="6"/>
      <c r="F15" s="6"/>
      <c r="G15" s="6"/>
      <c r="H15" s="6"/>
      <c r="M15" t="s">
        <v>218</v>
      </c>
    </row>
    <row r="16" spans="1:13" x14ac:dyDescent="0.2">
      <c r="B16" t="s">
        <v>23</v>
      </c>
      <c r="D16" s="6">
        <v>1</v>
      </c>
      <c r="E16" s="6"/>
      <c r="F16" s="6"/>
      <c r="G16" s="6"/>
      <c r="H16" s="6"/>
      <c r="M16" t="s">
        <v>0</v>
      </c>
    </row>
    <row r="17" spans="1:13" x14ac:dyDescent="0.2">
      <c r="D17" s="6"/>
      <c r="E17" s="6"/>
      <c r="F17" s="6"/>
      <c r="G17" s="6"/>
      <c r="H17" s="6"/>
      <c r="M17" t="s">
        <v>221</v>
      </c>
    </row>
    <row r="18" spans="1:13" x14ac:dyDescent="0.2">
      <c r="B18" t="s">
        <v>24</v>
      </c>
      <c r="D18" s="8">
        <v>0.06</v>
      </c>
      <c r="E18" s="8">
        <v>0.06</v>
      </c>
      <c r="F18" s="8">
        <v>5.5E-2</v>
      </c>
      <c r="G18" s="8">
        <v>5.5E-2</v>
      </c>
      <c r="H18" s="8">
        <v>0.05</v>
      </c>
      <c r="M18" t="s">
        <v>222</v>
      </c>
    </row>
    <row r="19" spans="1:13" x14ac:dyDescent="0.2">
      <c r="B19" t="s">
        <v>25</v>
      </c>
      <c r="D19" s="9"/>
      <c r="E19" s="8">
        <v>0.01</v>
      </c>
      <c r="F19" s="8">
        <v>0.01</v>
      </c>
      <c r="G19" s="8">
        <v>0.01</v>
      </c>
      <c r="H19" s="8">
        <v>0.01</v>
      </c>
      <c r="M19" t="s">
        <v>223</v>
      </c>
    </row>
    <row r="20" spans="1:13" x14ac:dyDescent="0.2">
      <c r="B20" t="s">
        <v>26</v>
      </c>
      <c r="D20" s="9"/>
      <c r="E20" s="8">
        <v>5.0000000000000001E-3</v>
      </c>
      <c r="F20" s="8">
        <v>5.0000000000000001E-3</v>
      </c>
      <c r="G20" s="8">
        <v>5.0000000000000001E-3</v>
      </c>
      <c r="H20" s="8">
        <v>0.01</v>
      </c>
      <c r="M20" t="s">
        <v>224</v>
      </c>
    </row>
    <row r="21" spans="1:13" x14ac:dyDescent="0.2">
      <c r="B21" t="s">
        <v>27</v>
      </c>
      <c r="D21" s="9"/>
      <c r="E21" s="8">
        <v>5.0000000000000001E-3</v>
      </c>
      <c r="F21" s="8">
        <v>5.0000000000000001E-3</v>
      </c>
      <c r="G21" s="8">
        <v>5.0000000000000001E-3</v>
      </c>
      <c r="H21" s="8">
        <v>5.0000000000000001E-3</v>
      </c>
      <c r="M21" t="s">
        <v>220</v>
      </c>
    </row>
    <row r="22" spans="1:13" x14ac:dyDescent="0.2">
      <c r="B22" t="s">
        <v>28</v>
      </c>
      <c r="D22" s="9"/>
      <c r="E22" s="8">
        <v>1.4999999999999999E-2</v>
      </c>
      <c r="F22" s="8">
        <v>1.4999999999999999E-2</v>
      </c>
      <c r="G22" s="8">
        <v>1.4999999999999999E-2</v>
      </c>
      <c r="H22" s="8">
        <v>1.4999999999999999E-2</v>
      </c>
      <c r="M22" t="s">
        <v>219</v>
      </c>
    </row>
    <row r="23" spans="1:13" x14ac:dyDescent="0.2">
      <c r="B23" t="s">
        <v>29</v>
      </c>
      <c r="D23" s="9"/>
      <c r="E23" s="8">
        <v>0</v>
      </c>
      <c r="F23" s="8">
        <v>0.01</v>
      </c>
      <c r="G23" s="8">
        <v>0.02</v>
      </c>
      <c r="H23" s="8">
        <v>0.02</v>
      </c>
      <c r="M23" t="s">
        <v>9</v>
      </c>
    </row>
    <row r="24" spans="1:13" x14ac:dyDescent="0.2">
      <c r="B24" t="s">
        <v>30</v>
      </c>
      <c r="D24" s="6"/>
      <c r="E24" s="8">
        <v>0.02</v>
      </c>
      <c r="F24" s="6"/>
      <c r="G24" s="6"/>
      <c r="H24" s="6"/>
    </row>
    <row r="25" spans="1:13" x14ac:dyDescent="0.2">
      <c r="B25" t="s">
        <v>31</v>
      </c>
      <c r="D25" s="6"/>
      <c r="E25" s="8">
        <v>0.05</v>
      </c>
      <c r="F25" s="6"/>
      <c r="G25" s="6"/>
      <c r="H25" s="6"/>
      <c r="M25" t="s">
        <v>225</v>
      </c>
    </row>
    <row r="26" spans="1:13" x14ac:dyDescent="0.2">
      <c r="B26" t="s">
        <v>32</v>
      </c>
      <c r="D26" s="6"/>
      <c r="E26" s="8">
        <v>-0.02</v>
      </c>
      <c r="F26" s="6"/>
      <c r="G26" s="6"/>
      <c r="H26" s="6"/>
    </row>
    <row r="27" spans="1:13" x14ac:dyDescent="0.2">
      <c r="A27" t="s">
        <v>33</v>
      </c>
      <c r="D27" s="6"/>
      <c r="E27" s="6"/>
      <c r="F27" s="6"/>
      <c r="G27" s="6"/>
      <c r="H27" s="6"/>
      <c r="M27" t="s">
        <v>226</v>
      </c>
    </row>
    <row r="28" spans="1:13" x14ac:dyDescent="0.2">
      <c r="B28" t="s">
        <v>34</v>
      </c>
      <c r="D28" s="6"/>
      <c r="E28" s="8">
        <v>0.03</v>
      </c>
      <c r="F28" s="8"/>
      <c r="G28" s="8"/>
      <c r="H28" s="8"/>
      <c r="M28" t="s">
        <v>227</v>
      </c>
    </row>
    <row r="29" spans="1:13" x14ac:dyDescent="0.2">
      <c r="B29" t="s">
        <v>35</v>
      </c>
      <c r="D29" s="6"/>
      <c r="E29" s="8">
        <v>8.3333333333333329E-2</v>
      </c>
      <c r="F29" s="8">
        <v>8.3333333333333329E-2</v>
      </c>
      <c r="G29" s="8">
        <v>8.3333333333333329E-2</v>
      </c>
      <c r="H29" s="8">
        <v>8.3333333333333329E-2</v>
      </c>
    </row>
    <row r="30" spans="1:13" x14ac:dyDescent="0.2">
      <c r="B30" t="s">
        <v>36</v>
      </c>
      <c r="D30" s="6"/>
      <c r="E30" s="8">
        <v>0.05</v>
      </c>
      <c r="F30" s="8"/>
      <c r="G30" s="8"/>
      <c r="H30" s="8"/>
    </row>
    <row r="31" spans="1:13" x14ac:dyDescent="0.2">
      <c r="B31" t="s">
        <v>37</v>
      </c>
      <c r="D31" s="6"/>
      <c r="E31" s="8">
        <v>0.1</v>
      </c>
      <c r="F31" s="8"/>
      <c r="G31" s="8"/>
      <c r="H31" s="8"/>
    </row>
    <row r="32" spans="1:13" x14ac:dyDescent="0.2">
      <c r="B32" t="s">
        <v>38</v>
      </c>
      <c r="D32" s="6"/>
      <c r="E32" s="8">
        <v>0.1</v>
      </c>
      <c r="F32" s="8"/>
      <c r="G32" s="8"/>
      <c r="H32" s="8"/>
    </row>
    <row r="33" spans="1:8" x14ac:dyDescent="0.2">
      <c r="B33" t="s">
        <v>39</v>
      </c>
      <c r="D33" s="6"/>
      <c r="E33" s="8">
        <v>0.1</v>
      </c>
      <c r="F33" s="8"/>
      <c r="G33" s="8"/>
      <c r="H33" s="8"/>
    </row>
    <row r="34" spans="1:8" x14ac:dyDescent="0.2">
      <c r="B34" t="s">
        <v>40</v>
      </c>
      <c r="D34" s="6"/>
      <c r="E34" s="8">
        <v>0.7</v>
      </c>
      <c r="F34" s="8"/>
      <c r="G34" s="8"/>
      <c r="H34" s="8"/>
    </row>
    <row r="35" spans="1:8" x14ac:dyDescent="0.2">
      <c r="B35" t="s">
        <v>41</v>
      </c>
      <c r="D35" s="6"/>
      <c r="E35" s="8">
        <v>0.04</v>
      </c>
      <c r="F35" s="8"/>
      <c r="G35" s="8"/>
      <c r="H35" s="8"/>
    </row>
    <row r="36" spans="1:8" x14ac:dyDescent="0.2">
      <c r="B36" t="s">
        <v>42</v>
      </c>
      <c r="D36" s="6"/>
      <c r="E36" s="8">
        <v>0.7</v>
      </c>
      <c r="F36" s="8"/>
      <c r="G36" s="8"/>
      <c r="H36" s="8"/>
    </row>
    <row r="37" spans="1:8" ht="46" customHeight="1" x14ac:dyDescent="0.2">
      <c r="B37" s="10" t="s">
        <v>43</v>
      </c>
      <c r="D37" s="6">
        <v>13</v>
      </c>
      <c r="E37" s="8"/>
      <c r="F37" s="8"/>
      <c r="G37" s="8"/>
      <c r="H37" s="8"/>
    </row>
    <row r="38" spans="1:8" x14ac:dyDescent="0.2">
      <c r="B38" t="s">
        <v>44</v>
      </c>
      <c r="D38" s="6"/>
      <c r="E38" s="8">
        <v>0.04</v>
      </c>
      <c r="F38" s="8"/>
      <c r="G38" s="8"/>
      <c r="H38" s="8"/>
    </row>
    <row r="39" spans="1:8" x14ac:dyDescent="0.2">
      <c r="B39" t="s">
        <v>45</v>
      </c>
      <c r="D39" s="6"/>
      <c r="E39" s="8">
        <v>0</v>
      </c>
      <c r="F39" s="8">
        <v>0</v>
      </c>
      <c r="G39" s="8">
        <v>0</v>
      </c>
      <c r="H39" s="8">
        <v>0</v>
      </c>
    </row>
    <row r="40" spans="1:8" x14ac:dyDescent="0.2">
      <c r="A40" t="s">
        <v>46</v>
      </c>
      <c r="B40" t="s">
        <v>47</v>
      </c>
      <c r="D40" s="6">
        <v>7</v>
      </c>
      <c r="H40" s="6"/>
    </row>
    <row r="41" spans="1:8" x14ac:dyDescent="0.2">
      <c r="B41" t="s">
        <v>48</v>
      </c>
      <c r="D41" s="6">
        <v>-0.35</v>
      </c>
      <c r="F41" s="6"/>
      <c r="G41" s="6"/>
      <c r="H41" s="6"/>
    </row>
    <row r="42" spans="1:8" x14ac:dyDescent="0.2">
      <c r="B42" t="s">
        <v>49</v>
      </c>
      <c r="D42" s="6">
        <v>100</v>
      </c>
      <c r="F42" s="6" t="s">
        <v>81</v>
      </c>
      <c r="G42" s="2">
        <v>50.6075935</v>
      </c>
      <c r="H42" s="6"/>
    </row>
    <row r="45" spans="1:8" x14ac:dyDescent="0.2">
      <c r="A45" t="s">
        <v>57</v>
      </c>
      <c r="D45" s="6"/>
      <c r="E45" s="6"/>
      <c r="F45" s="6"/>
      <c r="G45" s="6"/>
      <c r="H45" s="6"/>
    </row>
    <row r="46" spans="1:8" x14ac:dyDescent="0.2">
      <c r="B46" t="s">
        <v>50</v>
      </c>
      <c r="D46" s="6"/>
      <c r="E46" s="8">
        <f>(1+E18)*(1+E19)-1</f>
        <v>7.0599999999999996E-2</v>
      </c>
      <c r="F46" s="8">
        <f t="shared" ref="F46:H46" si="0">(1+F18)*(1+F19)-1</f>
        <v>6.5549999999999997E-2</v>
      </c>
      <c r="G46" s="8">
        <f t="shared" si="0"/>
        <v>6.5549999999999997E-2</v>
      </c>
      <c r="H46" s="8">
        <f t="shared" si="0"/>
        <v>6.0499999999999998E-2</v>
      </c>
    </row>
    <row r="47" spans="1:8" x14ac:dyDescent="0.2">
      <c r="B47" t="s">
        <v>51</v>
      </c>
      <c r="D47" s="6"/>
      <c r="E47" s="8">
        <f>(1+E18)*(1+E20)-1</f>
        <v>6.5299999999999914E-2</v>
      </c>
      <c r="F47" s="8">
        <f t="shared" ref="F47:H47" si="1">(1+F18)*(1+F20)-1</f>
        <v>6.0274999999999856E-2</v>
      </c>
      <c r="G47" s="8">
        <f t="shared" si="1"/>
        <v>6.0274999999999856E-2</v>
      </c>
      <c r="H47" s="8">
        <f t="shared" si="1"/>
        <v>6.0499999999999998E-2</v>
      </c>
    </row>
    <row r="48" spans="1:8" x14ac:dyDescent="0.2">
      <c r="B48" t="s">
        <v>52</v>
      </c>
      <c r="D48" s="6"/>
      <c r="E48" s="8">
        <f>(1+E18)*(1+E21)-1</f>
        <v>6.5299999999999914E-2</v>
      </c>
      <c r="F48" s="8">
        <f t="shared" ref="F48:H48" si="2">(1+F18)*(1+F21)-1</f>
        <v>6.0274999999999856E-2</v>
      </c>
      <c r="G48" s="8">
        <f t="shared" si="2"/>
        <v>6.0274999999999856E-2</v>
      </c>
      <c r="H48" s="8">
        <f t="shared" si="2"/>
        <v>5.5250000000000021E-2</v>
      </c>
    </row>
    <row r="49" spans="1:9" x14ac:dyDescent="0.2">
      <c r="B49" t="s">
        <v>53</v>
      </c>
      <c r="D49" s="6"/>
      <c r="E49" s="8">
        <f>(1+E18)*(1+E22)-1</f>
        <v>7.5899999999999856E-2</v>
      </c>
      <c r="F49" s="8">
        <f t="shared" ref="F49:H49" si="3">(1+F18)*(1+F22)-1</f>
        <v>7.0824999999999916E-2</v>
      </c>
      <c r="G49" s="8">
        <f t="shared" si="3"/>
        <v>7.0824999999999916E-2</v>
      </c>
      <c r="H49" s="8">
        <f t="shared" si="3"/>
        <v>6.5749999999999975E-2</v>
      </c>
    </row>
    <row r="50" spans="1:9" x14ac:dyDescent="0.2">
      <c r="D50" s="6"/>
    </row>
    <row r="51" spans="1:9" x14ac:dyDescent="0.2">
      <c r="B51" t="s">
        <v>55</v>
      </c>
      <c r="E51">
        <f>G42*(1+E23)</f>
        <v>50.6075935</v>
      </c>
      <c r="F51">
        <f>E51*(1+F23)</f>
        <v>51.113669434999998</v>
      </c>
      <c r="G51">
        <f>F51*(1+G23)</f>
        <v>52.135942823699999</v>
      </c>
      <c r="H51">
        <f>G51*(1+H23)</f>
        <v>53.178661680174002</v>
      </c>
    </row>
    <row r="52" spans="1:9" x14ac:dyDescent="0.2">
      <c r="B52" t="s">
        <v>47</v>
      </c>
      <c r="D52" s="11">
        <f>D40</f>
        <v>7</v>
      </c>
      <c r="E52" s="11">
        <f>D52*(1+E46)</f>
        <v>7.4942000000000002</v>
      </c>
      <c r="F52" s="11">
        <f>E52*(1+F46)</f>
        <v>7.9854448100000006</v>
      </c>
      <c r="G52" s="11">
        <f>F52*(1+G46)</f>
        <v>8.5088907172955004</v>
      </c>
      <c r="H52" s="11">
        <f>G52*(1+H46)</f>
        <v>9.0236786056918774</v>
      </c>
    </row>
    <row r="53" spans="1:9" x14ac:dyDescent="0.2">
      <c r="B53" t="s">
        <v>56</v>
      </c>
      <c r="E53">
        <f>E51*E52</f>
        <v>379.26342720770003</v>
      </c>
      <c r="F53">
        <f t="shared" ref="F53:H53" si="4">F51*F52</f>
        <v>408.16538630977641</v>
      </c>
      <c r="G53">
        <f t="shared" si="4"/>
        <v>443.61903993002988</v>
      </c>
      <c r="H53">
        <f t="shared" si="4"/>
        <v>479.86715168271263</v>
      </c>
    </row>
    <row r="55" spans="1:9" x14ac:dyDescent="0.2">
      <c r="B55" t="s">
        <v>54</v>
      </c>
      <c r="D55" s="11">
        <f>D37</f>
        <v>13</v>
      </c>
      <c r="E55">
        <f>$E$35*E53</f>
        <v>15.170537088308002</v>
      </c>
      <c r="F55">
        <f t="shared" ref="F55:H55" si="5">$E$35*F53</f>
        <v>16.326615452391056</v>
      </c>
      <c r="G55">
        <f t="shared" si="5"/>
        <v>17.744761597201197</v>
      </c>
      <c r="H55">
        <f t="shared" si="5"/>
        <v>19.194686067308506</v>
      </c>
    </row>
    <row r="56" spans="1:9" x14ac:dyDescent="0.2">
      <c r="D56" s="13"/>
      <c r="E56" s="12"/>
      <c r="F56" s="13"/>
      <c r="G56" s="13"/>
      <c r="H56" s="13"/>
    </row>
    <row r="57" spans="1:9" x14ac:dyDescent="0.2">
      <c r="B57" t="s">
        <v>58</v>
      </c>
      <c r="E57" s="8">
        <f>(1+E18)*(1+$E$24)-1</f>
        <v>8.1200000000000161E-2</v>
      </c>
      <c r="F57" s="8">
        <f>(1+F18)*(1+$E$24)-1</f>
        <v>7.6100000000000056E-2</v>
      </c>
      <c r="G57" s="8">
        <f>(1+G18)*(1+$E$24)-1</f>
        <v>7.6100000000000056E-2</v>
      </c>
      <c r="H57" s="8">
        <f>(1+H18)*(1+$E$24)-1</f>
        <v>7.1000000000000174E-2</v>
      </c>
      <c r="I57" s="8"/>
    </row>
    <row r="58" spans="1:9" x14ac:dyDescent="0.2">
      <c r="B58" t="s">
        <v>59</v>
      </c>
      <c r="E58" s="8">
        <f>E57+$E$26</f>
        <v>6.1200000000000157E-2</v>
      </c>
      <c r="F58" s="8">
        <f t="shared" ref="F58:H58" si="6">F57+$E$26</f>
        <v>5.6100000000000053E-2</v>
      </c>
      <c r="G58" s="8">
        <f t="shared" si="6"/>
        <v>5.6100000000000053E-2</v>
      </c>
      <c r="H58" s="8">
        <f t="shared" si="6"/>
        <v>5.100000000000017E-2</v>
      </c>
      <c r="I58" s="8"/>
    </row>
    <row r="59" spans="1:9" x14ac:dyDescent="0.2">
      <c r="B59" t="s">
        <v>60</v>
      </c>
      <c r="E59" s="8">
        <f>E57+$E$25</f>
        <v>0.13120000000000015</v>
      </c>
      <c r="F59" s="8">
        <f t="shared" ref="F59:H59" si="7">F57+$E$25</f>
        <v>0.12610000000000005</v>
      </c>
      <c r="G59" s="8">
        <f t="shared" si="7"/>
        <v>0.12610000000000005</v>
      </c>
      <c r="H59" s="8">
        <f t="shared" si="7"/>
        <v>0.12100000000000018</v>
      </c>
      <c r="I59" s="8"/>
    </row>
    <row r="60" spans="1:9" x14ac:dyDescent="0.2">
      <c r="E60" s="8"/>
      <c r="F60" s="8"/>
      <c r="G60" s="8"/>
      <c r="H60" s="8"/>
      <c r="I60" s="8"/>
    </row>
    <row r="61" spans="1:9" x14ac:dyDescent="0.2">
      <c r="D61" s="13"/>
      <c r="E61" s="13"/>
      <c r="F61" s="13"/>
      <c r="G61" s="13"/>
      <c r="H61" s="13"/>
    </row>
    <row r="62" spans="1:9" x14ac:dyDescent="0.2">
      <c r="A62" t="s">
        <v>61</v>
      </c>
      <c r="D62" s="13"/>
      <c r="E62" s="13"/>
      <c r="F62" s="13"/>
      <c r="G62" s="13"/>
      <c r="H62" s="13"/>
    </row>
    <row r="63" spans="1:9" x14ac:dyDescent="0.2">
      <c r="B63" s="2" t="s">
        <v>62</v>
      </c>
      <c r="D63" s="13">
        <v>0</v>
      </c>
      <c r="E63" s="13">
        <f>D72</f>
        <v>45</v>
      </c>
      <c r="F63" s="13">
        <f>E72</f>
        <v>45.45</v>
      </c>
      <c r="G63" s="13">
        <f>F72</f>
        <v>46.359000000000002</v>
      </c>
      <c r="H63" s="13">
        <f>G72</f>
        <v>47.286180000000002</v>
      </c>
    </row>
    <row r="64" spans="1:9" x14ac:dyDescent="0.2">
      <c r="B64" s="2" t="s">
        <v>63</v>
      </c>
      <c r="D64" s="13"/>
      <c r="E64" s="13">
        <f>D71/D7</f>
        <v>11.25</v>
      </c>
      <c r="F64" s="13">
        <f>E64</f>
        <v>11.25</v>
      </c>
      <c r="G64" s="13">
        <f t="shared" ref="G64:H64" si="8">F64</f>
        <v>11.25</v>
      </c>
      <c r="H64" s="13">
        <f t="shared" si="8"/>
        <v>11.25</v>
      </c>
    </row>
    <row r="65" spans="1:10" x14ac:dyDescent="0.2">
      <c r="B65" s="2" t="s">
        <v>64</v>
      </c>
      <c r="D65" s="13"/>
      <c r="E65" s="13"/>
      <c r="F65" s="13">
        <f>E71/D7</f>
        <v>2.9249999999999998</v>
      </c>
      <c r="G65" s="13">
        <f>F65</f>
        <v>2.9249999999999998</v>
      </c>
      <c r="H65" s="13">
        <f>G65</f>
        <v>2.9249999999999998</v>
      </c>
    </row>
    <row r="66" spans="1:10" x14ac:dyDescent="0.2">
      <c r="B66" s="2" t="s">
        <v>65</v>
      </c>
      <c r="G66">
        <f>F71/D7</f>
        <v>3.7710000000000004</v>
      </c>
      <c r="H66">
        <f>G66</f>
        <v>3.7710000000000004</v>
      </c>
    </row>
    <row r="67" spans="1:10" x14ac:dyDescent="0.2">
      <c r="B67" s="2" t="s">
        <v>66</v>
      </c>
      <c r="H67">
        <f>G71/D7</f>
        <v>4.7182950000000003</v>
      </c>
    </row>
    <row r="68" spans="1:10" x14ac:dyDescent="0.2">
      <c r="B68" s="2"/>
    </row>
    <row r="69" spans="1:10" x14ac:dyDescent="0.2">
      <c r="B69" s="2" t="s">
        <v>67</v>
      </c>
      <c r="D69">
        <v>0</v>
      </c>
      <c r="E69" s="13">
        <f>SUM(E64:E67)</f>
        <v>11.25</v>
      </c>
      <c r="F69" s="13">
        <f>SUM(F64:F67)</f>
        <v>14.175000000000001</v>
      </c>
      <c r="G69" s="13">
        <f>SUM(G64:G67)</f>
        <v>17.946000000000002</v>
      </c>
      <c r="H69" s="13">
        <f>SUM(H64:H67)</f>
        <v>22.664295000000003</v>
      </c>
    </row>
    <row r="70" spans="1:10" x14ac:dyDescent="0.2">
      <c r="B70" s="2" t="s">
        <v>68</v>
      </c>
      <c r="E70">
        <f>D72*F23</f>
        <v>0.45</v>
      </c>
      <c r="F70">
        <f>E72*G23</f>
        <v>0.90900000000000003</v>
      </c>
      <c r="G70">
        <f>F72*H23</f>
        <v>0.92718</v>
      </c>
      <c r="H70">
        <f>G72*I23</f>
        <v>0</v>
      </c>
      <c r="J70" t="s">
        <v>71</v>
      </c>
    </row>
    <row r="71" spans="1:10" x14ac:dyDescent="0.2">
      <c r="B71" s="5" t="s">
        <v>69</v>
      </c>
      <c r="C71" s="14"/>
      <c r="D71" s="15">
        <f>D6</f>
        <v>45</v>
      </c>
      <c r="E71" s="16">
        <f>E69+E70</f>
        <v>11.7</v>
      </c>
      <c r="F71" s="16">
        <f>F69+F70</f>
        <v>15.084000000000001</v>
      </c>
      <c r="G71" s="16">
        <f>G69+G70</f>
        <v>18.873180000000001</v>
      </c>
      <c r="H71" s="16">
        <f>H69+H70</f>
        <v>22.664295000000003</v>
      </c>
    </row>
    <row r="72" spans="1:10" x14ac:dyDescent="0.2">
      <c r="B72" s="2" t="s">
        <v>70</v>
      </c>
      <c r="D72" s="11">
        <f>D6</f>
        <v>45</v>
      </c>
      <c r="E72" s="11">
        <f>E63-E69+E71</f>
        <v>45.45</v>
      </c>
      <c r="F72" s="11">
        <f>F63-F69+F71</f>
        <v>46.359000000000002</v>
      </c>
      <c r="G72" s="11">
        <f>G63-G69+G71</f>
        <v>47.286180000000002</v>
      </c>
      <c r="H72" s="11">
        <f>H63-H69+H71</f>
        <v>47.286180000000002</v>
      </c>
    </row>
    <row r="75" spans="1:10" x14ac:dyDescent="0.2">
      <c r="A75" s="2" t="s">
        <v>72</v>
      </c>
      <c r="B75" s="2"/>
    </row>
    <row r="76" spans="1:10" x14ac:dyDescent="0.2">
      <c r="A76" s="2"/>
      <c r="B76" s="2" t="s">
        <v>86</v>
      </c>
      <c r="E76" s="11">
        <f>D77</f>
        <v>4</v>
      </c>
      <c r="F76" s="11">
        <f>E77</f>
        <v>4.2172994583333328</v>
      </c>
      <c r="G76" s="11">
        <f>F77</f>
        <v>4.2594724529166665</v>
      </c>
      <c r="H76" s="11">
        <f>G77</f>
        <v>4.3446619019749999</v>
      </c>
    </row>
    <row r="77" spans="1:10" x14ac:dyDescent="0.2">
      <c r="A77" s="2"/>
      <c r="B77" s="2" t="s">
        <v>85</v>
      </c>
      <c r="D77" s="11">
        <f>D10</f>
        <v>4</v>
      </c>
      <c r="E77">
        <f>E51*E29</f>
        <v>4.2172994583333328</v>
      </c>
      <c r="F77">
        <f t="shared" ref="F77:H77" si="9">F51*F29</f>
        <v>4.2594724529166665</v>
      </c>
      <c r="G77">
        <f t="shared" si="9"/>
        <v>4.3446619019749999</v>
      </c>
      <c r="H77">
        <f t="shared" si="9"/>
        <v>4.4315551400144999</v>
      </c>
      <c r="J77" t="s">
        <v>73</v>
      </c>
    </row>
    <row r="78" spans="1:10" x14ac:dyDescent="0.2">
      <c r="A78" s="2"/>
      <c r="B78" s="2" t="s">
        <v>87</v>
      </c>
      <c r="D78" s="11">
        <f>D77</f>
        <v>4</v>
      </c>
      <c r="E78" s="11">
        <f>E51+E77-E76</f>
        <v>50.824892958333336</v>
      </c>
      <c r="F78" s="11">
        <f>F51+F77-F76</f>
        <v>51.15584242958333</v>
      </c>
      <c r="G78" s="11">
        <f>G51+G77-G76</f>
        <v>52.221132272758332</v>
      </c>
      <c r="H78" s="11">
        <f>H51+H77-H76</f>
        <v>53.265554918213503</v>
      </c>
    </row>
    <row r="81" spans="1:10" x14ac:dyDescent="0.2">
      <c r="A81" t="s">
        <v>74</v>
      </c>
    </row>
    <row r="82" spans="1:10" x14ac:dyDescent="0.2">
      <c r="B82" t="s">
        <v>75</v>
      </c>
      <c r="D82" s="11">
        <f>D11</f>
        <v>5</v>
      </c>
      <c r="E82">
        <f>D82*(1+E47)</f>
        <v>5.3264999999999993</v>
      </c>
      <c r="F82">
        <f>E82*(1+F47)</f>
        <v>5.647554787499999</v>
      </c>
      <c r="G82">
        <f>F82*(1+G47)</f>
        <v>5.9879611523165606</v>
      </c>
      <c r="H82">
        <f>G82*(1+H47)</f>
        <v>6.3502328020317123</v>
      </c>
    </row>
    <row r="83" spans="1:10" x14ac:dyDescent="0.2">
      <c r="B83" t="s">
        <v>82</v>
      </c>
      <c r="D83">
        <f>D76*D82</f>
        <v>0</v>
      </c>
      <c r="E83">
        <f>E76*D82</f>
        <v>20</v>
      </c>
      <c r="F83">
        <f t="shared" ref="F83:H83" si="10">F76*E82</f>
        <v>22.463445564812496</v>
      </c>
      <c r="G83">
        <f t="shared" si="10"/>
        <v>24.055604043693883</v>
      </c>
      <c r="H83">
        <f t="shared" si="10"/>
        <v>26.015666688976079</v>
      </c>
      <c r="J83" t="s">
        <v>88</v>
      </c>
    </row>
    <row r="84" spans="1:10" x14ac:dyDescent="0.2">
      <c r="B84" t="s">
        <v>83</v>
      </c>
      <c r="D84" s="11">
        <f>D78*D82</f>
        <v>20</v>
      </c>
      <c r="E84" s="11">
        <f t="shared" ref="E84:H84" si="11">E78*E82</f>
        <v>270.71879234256249</v>
      </c>
      <c r="F84" s="11">
        <f t="shared" si="11"/>
        <v>288.90542282178893</v>
      </c>
      <c r="G84" s="11">
        <f t="shared" si="11"/>
        <v>312.69811137926149</v>
      </c>
      <c r="H84" s="11">
        <f t="shared" si="11"/>
        <v>338.24867406006098</v>
      </c>
    </row>
    <row r="85" spans="1:10" x14ac:dyDescent="0.2">
      <c r="B85" t="s">
        <v>84</v>
      </c>
      <c r="D85" s="11">
        <f>D77*D82</f>
        <v>20</v>
      </c>
      <c r="E85" s="11">
        <f t="shared" ref="E85:H85" si="12">E77*E82</f>
        <v>22.463445564812496</v>
      </c>
      <c r="F85" s="11">
        <f t="shared" si="12"/>
        <v>24.055604043693883</v>
      </c>
      <c r="G85" s="11">
        <f t="shared" si="12"/>
        <v>26.015666688976079</v>
      </c>
      <c r="H85" s="11">
        <f t="shared" si="12"/>
        <v>28.141406814132313</v>
      </c>
    </row>
    <row r="86" spans="1:10" x14ac:dyDescent="0.2">
      <c r="B86" s="14" t="s">
        <v>76</v>
      </c>
      <c r="C86" s="14"/>
      <c r="D86" s="15">
        <f>D83+D84-D85</f>
        <v>0</v>
      </c>
      <c r="E86" s="15">
        <f t="shared" ref="E86:H86" si="13">E83+E84-E85</f>
        <v>268.25534677774999</v>
      </c>
      <c r="F86" s="15">
        <f t="shared" si="13"/>
        <v>287.31326434290753</v>
      </c>
      <c r="G86" s="15">
        <f t="shared" si="13"/>
        <v>310.73804873397933</v>
      </c>
      <c r="H86" s="15">
        <f t="shared" si="13"/>
        <v>336.12293393490472</v>
      </c>
    </row>
    <row r="89" spans="1:10" x14ac:dyDescent="0.2">
      <c r="A89" t="s">
        <v>77</v>
      </c>
    </row>
    <row r="90" spans="1:10" x14ac:dyDescent="0.2">
      <c r="B90" t="s">
        <v>78</v>
      </c>
      <c r="D90">
        <f>$E$38*D53</f>
        <v>0</v>
      </c>
      <c r="E90">
        <f t="shared" ref="E90:H90" si="14">$E$38*E53</f>
        <v>15.170537088308002</v>
      </c>
      <c r="F90">
        <f t="shared" si="14"/>
        <v>16.326615452391056</v>
      </c>
      <c r="G90">
        <f t="shared" si="14"/>
        <v>17.744761597201197</v>
      </c>
      <c r="H90">
        <f t="shared" si="14"/>
        <v>19.194686067308506</v>
      </c>
    </row>
    <row r="91" spans="1:10" x14ac:dyDescent="0.2">
      <c r="B91" t="s">
        <v>52</v>
      </c>
      <c r="E91">
        <f>$D$12*(1+E48)</f>
        <v>23.436599999999999</v>
      </c>
      <c r="F91">
        <f>E91*(1+F48)</f>
        <v>24.849241064999994</v>
      </c>
      <c r="G91">
        <f t="shared" ref="G91:H91" si="15">F91*(1+G48)</f>
        <v>26.347029070192864</v>
      </c>
      <c r="H91">
        <f t="shared" si="15"/>
        <v>27.802702426321019</v>
      </c>
    </row>
    <row r="92" spans="1:10" x14ac:dyDescent="0.2">
      <c r="B92" t="s">
        <v>53</v>
      </c>
      <c r="E92">
        <f>D13*(1+E49)</f>
        <v>25.821599999999997</v>
      </c>
      <c r="F92">
        <f>E92*(1+F49)</f>
        <v>27.650414819999995</v>
      </c>
      <c r="G92">
        <f t="shared" ref="G92:H92" si="16">F92*(1+G49)</f>
        <v>29.608755449626493</v>
      </c>
      <c r="H92">
        <f t="shared" si="16"/>
        <v>31.555531120439433</v>
      </c>
    </row>
    <row r="93" spans="1:10" x14ac:dyDescent="0.2">
      <c r="B93" t="s">
        <v>79</v>
      </c>
      <c r="D93">
        <f>$E$28*D53</f>
        <v>0</v>
      </c>
      <c r="E93">
        <f t="shared" ref="E93:H93" si="17">$E$28*E53</f>
        <v>11.377902816231</v>
      </c>
      <c r="F93">
        <f t="shared" si="17"/>
        <v>12.244961589293291</v>
      </c>
      <c r="G93">
        <f t="shared" si="17"/>
        <v>13.308571197900896</v>
      </c>
      <c r="H93">
        <f t="shared" si="17"/>
        <v>14.396014550481379</v>
      </c>
    </row>
    <row r="94" spans="1:10" x14ac:dyDescent="0.2">
      <c r="B94" s="14" t="s">
        <v>80</v>
      </c>
      <c r="C94" s="14"/>
      <c r="D94" s="14">
        <f>SUM(D90:D93)</f>
        <v>0</v>
      </c>
      <c r="E94" s="14">
        <f t="shared" ref="E94:H94" si="18">SUM(E90:E93)</f>
        <v>75.806639904538997</v>
      </c>
      <c r="F94" s="14">
        <f t="shared" si="18"/>
        <v>81.071232926684345</v>
      </c>
      <c r="G94" s="14">
        <f t="shared" si="18"/>
        <v>87.009117314921468</v>
      </c>
      <c r="H94" s="14">
        <f t="shared" si="18"/>
        <v>92.948934164550352</v>
      </c>
    </row>
    <row r="97" spans="1:10" x14ac:dyDescent="0.2">
      <c r="A97" t="s">
        <v>100</v>
      </c>
    </row>
    <row r="98" spans="1:10" x14ac:dyDescent="0.2">
      <c r="B98" t="s">
        <v>89</v>
      </c>
      <c r="D98">
        <f>D53</f>
        <v>0</v>
      </c>
      <c r="E98">
        <f t="shared" ref="E98:H98" si="19">E53</f>
        <v>379.26342720770003</v>
      </c>
      <c r="F98">
        <f t="shared" si="19"/>
        <v>408.16538630977641</v>
      </c>
      <c r="G98">
        <f t="shared" si="19"/>
        <v>443.61903993002988</v>
      </c>
      <c r="H98">
        <f t="shared" si="19"/>
        <v>479.86715168271263</v>
      </c>
    </row>
    <row r="99" spans="1:10" x14ac:dyDescent="0.2">
      <c r="B99" t="s">
        <v>90</v>
      </c>
      <c r="D99">
        <f>$E$30*D98</f>
        <v>0</v>
      </c>
      <c r="E99">
        <f t="shared" ref="E99:H99" si="20">$E$30*E98</f>
        <v>18.963171360385001</v>
      </c>
      <c r="F99">
        <f t="shared" si="20"/>
        <v>20.408269315488823</v>
      </c>
      <c r="G99">
        <f t="shared" si="20"/>
        <v>22.180951996501495</v>
      </c>
      <c r="H99">
        <f t="shared" si="20"/>
        <v>23.993357584135634</v>
      </c>
      <c r="J99" t="s">
        <v>205</v>
      </c>
    </row>
    <row r="100" spans="1:10" x14ac:dyDescent="0.2">
      <c r="B100" t="s">
        <v>91</v>
      </c>
      <c r="D100">
        <f>$E$31*D98</f>
        <v>0</v>
      </c>
      <c r="E100">
        <f t="shared" ref="E100:H100" si="21">$E$31*E98</f>
        <v>37.926342720770002</v>
      </c>
      <c r="F100">
        <f t="shared" si="21"/>
        <v>40.816538630977647</v>
      </c>
      <c r="G100">
        <f t="shared" si="21"/>
        <v>44.36190399300299</v>
      </c>
      <c r="H100">
        <f t="shared" si="21"/>
        <v>47.986715168271267</v>
      </c>
      <c r="J100" t="s">
        <v>203</v>
      </c>
    </row>
    <row r="101" spans="1:10" x14ac:dyDescent="0.2">
      <c r="B101" s="14" t="s">
        <v>102</v>
      </c>
      <c r="C101" s="14"/>
      <c r="D101" s="14">
        <f>D98-D99-D100</f>
        <v>0</v>
      </c>
      <c r="E101" s="14">
        <f t="shared" ref="E101:H101" si="22">E98-E99-E100</f>
        <v>322.37391312654506</v>
      </c>
      <c r="F101" s="14">
        <f t="shared" si="22"/>
        <v>346.9405783633099</v>
      </c>
      <c r="G101" s="14">
        <f t="shared" si="22"/>
        <v>377.07618394052537</v>
      </c>
      <c r="H101" s="14">
        <f t="shared" si="22"/>
        <v>407.88707893030573</v>
      </c>
    </row>
    <row r="103" spans="1:10" x14ac:dyDescent="0.2">
      <c r="B103" t="s">
        <v>92</v>
      </c>
      <c r="D103" s="11">
        <f>D84</f>
        <v>20</v>
      </c>
      <c r="E103" s="11">
        <f>E84</f>
        <v>270.71879234256249</v>
      </c>
      <c r="F103" s="11">
        <f>F84</f>
        <v>288.90542282178893</v>
      </c>
      <c r="G103" s="11">
        <f>G84</f>
        <v>312.69811137926149</v>
      </c>
      <c r="H103" s="11">
        <f>H84</f>
        <v>338.24867406006098</v>
      </c>
    </row>
    <row r="104" spans="1:10" x14ac:dyDescent="0.2">
      <c r="B104" t="s">
        <v>93</v>
      </c>
      <c r="D104">
        <v>0</v>
      </c>
      <c r="E104">
        <f t="shared" ref="E104:H104" si="23">$E$32*E103</f>
        <v>27.071879234256251</v>
      </c>
      <c r="F104">
        <f t="shared" si="23"/>
        <v>28.890542282178895</v>
      </c>
      <c r="G104">
        <f t="shared" si="23"/>
        <v>31.269811137926151</v>
      </c>
      <c r="H104">
        <f t="shared" si="23"/>
        <v>33.824867406006099</v>
      </c>
    </row>
    <row r="105" spans="1:10" x14ac:dyDescent="0.2">
      <c r="B105" t="s">
        <v>91</v>
      </c>
      <c r="D105">
        <v>0</v>
      </c>
      <c r="E105">
        <f t="shared" ref="E105:H105" si="24">$E$33*E103</f>
        <v>27.071879234256251</v>
      </c>
      <c r="F105">
        <f t="shared" si="24"/>
        <v>28.890542282178895</v>
      </c>
      <c r="G105">
        <f t="shared" si="24"/>
        <v>31.269811137926151</v>
      </c>
      <c r="H105">
        <f t="shared" si="24"/>
        <v>33.824867406006099</v>
      </c>
    </row>
    <row r="106" spans="1:10" x14ac:dyDescent="0.2">
      <c r="B106" s="5" t="s">
        <v>103</v>
      </c>
      <c r="C106" s="14"/>
      <c r="D106" s="15">
        <f>D103-D104-D105</f>
        <v>20</v>
      </c>
      <c r="E106" s="15">
        <f t="shared" ref="E106:H106" si="25">E103-E104-E105</f>
        <v>216.57503387405001</v>
      </c>
      <c r="F106" s="15">
        <f t="shared" si="25"/>
        <v>231.12433825743113</v>
      </c>
      <c r="G106" s="15">
        <f t="shared" si="25"/>
        <v>250.15848910340921</v>
      </c>
      <c r="H106" s="15">
        <f t="shared" si="25"/>
        <v>270.59893924804879</v>
      </c>
    </row>
    <row r="109" spans="1:10" x14ac:dyDescent="0.2">
      <c r="A109" t="s">
        <v>101</v>
      </c>
    </row>
    <row r="110" spans="1:10" x14ac:dyDescent="0.2">
      <c r="B110" t="s">
        <v>94</v>
      </c>
      <c r="D110">
        <f>C99</f>
        <v>0</v>
      </c>
      <c r="E110">
        <f t="shared" ref="E110:H110" si="26">D99</f>
        <v>0</v>
      </c>
      <c r="F110">
        <f t="shared" si="26"/>
        <v>18.963171360385001</v>
      </c>
      <c r="G110">
        <f t="shared" si="26"/>
        <v>20.408269315488823</v>
      </c>
      <c r="H110">
        <f t="shared" si="26"/>
        <v>22.180951996501495</v>
      </c>
    </row>
    <row r="111" spans="1:10" x14ac:dyDescent="0.2">
      <c r="B111" t="s">
        <v>95</v>
      </c>
      <c r="D111">
        <f>E100</f>
        <v>37.926342720770002</v>
      </c>
      <c r="E111">
        <f t="shared" ref="E111:H111" si="27">F100</f>
        <v>40.816538630977647</v>
      </c>
      <c r="F111">
        <f t="shared" si="27"/>
        <v>44.36190399300299</v>
      </c>
      <c r="G111">
        <f t="shared" si="27"/>
        <v>47.986715168271267</v>
      </c>
      <c r="H111">
        <f t="shared" si="27"/>
        <v>0</v>
      </c>
      <c r="J111" t="s">
        <v>204</v>
      </c>
    </row>
    <row r="112" spans="1:10" x14ac:dyDescent="0.2">
      <c r="B112" t="s">
        <v>105</v>
      </c>
      <c r="D112">
        <f>D101</f>
        <v>0</v>
      </c>
      <c r="E112">
        <f t="shared" ref="E112:H112" si="28">E101</f>
        <v>322.37391312654506</v>
      </c>
      <c r="F112">
        <f t="shared" si="28"/>
        <v>346.9405783633099</v>
      </c>
      <c r="G112">
        <f t="shared" si="28"/>
        <v>377.07618394052537</v>
      </c>
      <c r="H112">
        <f t="shared" si="28"/>
        <v>407.88707893030573</v>
      </c>
    </row>
    <row r="113" spans="1:8" x14ac:dyDescent="0.2">
      <c r="B113" s="14" t="s">
        <v>104</v>
      </c>
      <c r="C113" s="14"/>
      <c r="D113" s="14">
        <f>SUM(D110:D112)</f>
        <v>37.926342720770002</v>
      </c>
      <c r="E113" s="14">
        <f t="shared" ref="E113:H113" si="29">SUM(E110:E112)</f>
        <v>363.19045175752274</v>
      </c>
      <c r="F113" s="14">
        <f t="shared" si="29"/>
        <v>410.2656537166979</v>
      </c>
      <c r="G113" s="14">
        <f t="shared" si="29"/>
        <v>445.47116842428545</v>
      </c>
      <c r="H113" s="14">
        <f t="shared" si="29"/>
        <v>430.06803092680724</v>
      </c>
    </row>
    <row r="115" spans="1:8" x14ac:dyDescent="0.2">
      <c r="B115" t="s">
        <v>97</v>
      </c>
      <c r="D115">
        <f>C104</f>
        <v>0</v>
      </c>
      <c r="E115">
        <f t="shared" ref="E115:H115" si="30">D104</f>
        <v>0</v>
      </c>
      <c r="F115">
        <f t="shared" si="30"/>
        <v>27.071879234256251</v>
      </c>
      <c r="G115">
        <f t="shared" si="30"/>
        <v>28.890542282178895</v>
      </c>
      <c r="H115">
        <f t="shared" si="30"/>
        <v>31.269811137926151</v>
      </c>
    </row>
    <row r="116" spans="1:8" x14ac:dyDescent="0.2">
      <c r="B116" t="s">
        <v>98</v>
      </c>
      <c r="D116">
        <f>E105</f>
        <v>27.071879234256251</v>
      </c>
      <c r="E116">
        <f t="shared" ref="E116:H116" si="31">F105</f>
        <v>28.890542282178895</v>
      </c>
      <c r="F116">
        <f t="shared" si="31"/>
        <v>31.269811137926151</v>
      </c>
      <c r="G116">
        <f t="shared" si="31"/>
        <v>33.824867406006099</v>
      </c>
      <c r="H116">
        <f t="shared" si="31"/>
        <v>0</v>
      </c>
    </row>
    <row r="117" spans="1:8" x14ac:dyDescent="0.2">
      <c r="B117" t="s">
        <v>106</v>
      </c>
      <c r="D117" s="11">
        <f>D106</f>
        <v>20</v>
      </c>
      <c r="E117" s="11">
        <f t="shared" ref="E117:H117" si="32">E106</f>
        <v>216.57503387405001</v>
      </c>
      <c r="F117" s="11">
        <f t="shared" si="32"/>
        <v>231.12433825743113</v>
      </c>
      <c r="G117" s="11">
        <f t="shared" si="32"/>
        <v>250.15848910340921</v>
      </c>
      <c r="H117" s="11">
        <f t="shared" si="32"/>
        <v>270.59893924804879</v>
      </c>
    </row>
    <row r="118" spans="1:8" x14ac:dyDescent="0.2">
      <c r="B118" s="14" t="s">
        <v>99</v>
      </c>
      <c r="C118" s="14"/>
      <c r="D118" s="14">
        <f>SUM(D115:D117)</f>
        <v>47.071879234256251</v>
      </c>
      <c r="E118" s="14">
        <f t="shared" ref="E118:H118" si="33">SUM(E115:E117)</f>
        <v>245.46557615622891</v>
      </c>
      <c r="F118" s="14">
        <f t="shared" si="33"/>
        <v>289.46602862961356</v>
      </c>
      <c r="G118" s="14">
        <f t="shared" si="33"/>
        <v>312.87389879159423</v>
      </c>
      <c r="H118" s="14">
        <f t="shared" si="33"/>
        <v>301.86875038597492</v>
      </c>
    </row>
    <row r="122" spans="1:8" x14ac:dyDescent="0.2">
      <c r="A122" t="s">
        <v>107</v>
      </c>
    </row>
    <row r="123" spans="1:8" ht="17" thickBot="1" x14ac:dyDescent="0.25">
      <c r="B123" s="17" t="s">
        <v>108</v>
      </c>
    </row>
    <row r="124" spans="1:8" x14ac:dyDescent="0.2">
      <c r="B124" t="s">
        <v>109</v>
      </c>
      <c r="D124">
        <f>D113</f>
        <v>37.926342720770002</v>
      </c>
      <c r="E124">
        <f t="shared" ref="E124:H124" si="34">E113</f>
        <v>363.19045175752274</v>
      </c>
      <c r="F124">
        <f t="shared" si="34"/>
        <v>410.2656537166979</v>
      </c>
      <c r="G124">
        <f t="shared" si="34"/>
        <v>445.47116842428545</v>
      </c>
      <c r="H124">
        <f t="shared" si="34"/>
        <v>430.06803092680724</v>
      </c>
    </row>
    <row r="125" spans="1:8" x14ac:dyDescent="0.2">
      <c r="B125" s="14" t="s">
        <v>96</v>
      </c>
      <c r="C125" s="14"/>
      <c r="D125" s="14">
        <f>D124</f>
        <v>37.926342720770002</v>
      </c>
      <c r="E125" s="14">
        <f t="shared" ref="E125:H125" si="35">E124</f>
        <v>363.19045175752274</v>
      </c>
      <c r="F125" s="14">
        <f t="shared" si="35"/>
        <v>410.2656537166979</v>
      </c>
      <c r="G125" s="14">
        <f t="shared" si="35"/>
        <v>445.47116842428545</v>
      </c>
      <c r="H125" s="14">
        <f t="shared" si="35"/>
        <v>430.06803092680724</v>
      </c>
    </row>
    <row r="127" spans="1:8" ht="17" thickBot="1" x14ac:dyDescent="0.25">
      <c r="B127" s="17" t="s">
        <v>110</v>
      </c>
    </row>
    <row r="128" spans="1:8" x14ac:dyDescent="0.2">
      <c r="B128" t="s">
        <v>111</v>
      </c>
      <c r="D128">
        <f>D118</f>
        <v>47.071879234256251</v>
      </c>
      <c r="E128">
        <f t="shared" ref="E128:H128" si="36">E118</f>
        <v>245.46557615622891</v>
      </c>
      <c r="F128">
        <f t="shared" si="36"/>
        <v>289.46602862961356</v>
      </c>
      <c r="G128">
        <f t="shared" si="36"/>
        <v>312.87389879159423</v>
      </c>
      <c r="H128">
        <f t="shared" si="36"/>
        <v>301.86875038597492</v>
      </c>
    </row>
    <row r="129" spans="1:10" x14ac:dyDescent="0.2">
      <c r="B129" t="s">
        <v>112</v>
      </c>
      <c r="D129">
        <f>D94</f>
        <v>0</v>
      </c>
      <c r="E129">
        <f t="shared" ref="E129:H129" si="37">E94</f>
        <v>75.806639904538997</v>
      </c>
      <c r="F129">
        <f t="shared" si="37"/>
        <v>81.071232926684345</v>
      </c>
      <c r="G129">
        <f t="shared" si="37"/>
        <v>87.009117314921468</v>
      </c>
      <c r="H129">
        <f t="shared" si="37"/>
        <v>92.948934164550352</v>
      </c>
    </row>
    <row r="130" spans="1:10" x14ac:dyDescent="0.2">
      <c r="B130" t="s">
        <v>113</v>
      </c>
      <c r="D130" s="18">
        <f>D229</f>
        <v>0</v>
      </c>
      <c r="E130" s="18">
        <f>E229</f>
        <v>5.9196011471945731</v>
      </c>
      <c r="F130" s="18">
        <f t="shared" ref="F130:H130" si="38">F229</f>
        <v>7.395532882215897</v>
      </c>
      <c r="G130" s="18">
        <f t="shared" si="38"/>
        <v>8.3792041469548479</v>
      </c>
      <c r="H130" s="18">
        <f t="shared" si="38"/>
        <v>8.655488191238371</v>
      </c>
      <c r="J130" t="s">
        <v>179</v>
      </c>
    </row>
    <row r="131" spans="1:10" x14ac:dyDescent="0.2">
      <c r="B131" s="14" t="s">
        <v>114</v>
      </c>
      <c r="C131" s="14"/>
      <c r="D131" s="14">
        <f>SUM(D128:D130)</f>
        <v>47.071879234256251</v>
      </c>
      <c r="E131" s="14">
        <f t="shared" ref="E131:H131" si="39">SUM(E128:E130)</f>
        <v>327.19181720796246</v>
      </c>
      <c r="F131" s="14">
        <f t="shared" si="39"/>
        <v>377.93279443851378</v>
      </c>
      <c r="G131" s="14">
        <f t="shared" si="39"/>
        <v>408.26222025347056</v>
      </c>
      <c r="H131" s="14">
        <f t="shared" si="39"/>
        <v>403.47317274176362</v>
      </c>
      <c r="J131" t="s">
        <v>208</v>
      </c>
    </row>
    <row r="133" spans="1:10" s="1" customFormat="1" x14ac:dyDescent="0.2">
      <c r="B133" s="1" t="s">
        <v>115</v>
      </c>
      <c r="D133" s="1">
        <f>D125-D131</f>
        <v>-9.145536513486249</v>
      </c>
      <c r="E133" s="1">
        <f t="shared" ref="E133:H133" si="40">E125-E131</f>
        <v>35.998634549560279</v>
      </c>
      <c r="F133" s="1">
        <f t="shared" si="40"/>
        <v>32.332859278184117</v>
      </c>
      <c r="G133" s="1">
        <f t="shared" si="40"/>
        <v>37.208948170814892</v>
      </c>
      <c r="H133" s="1">
        <f t="shared" si="40"/>
        <v>26.59485818504362</v>
      </c>
    </row>
    <row r="135" spans="1:10" x14ac:dyDescent="0.2">
      <c r="A135" t="s">
        <v>116</v>
      </c>
    </row>
    <row r="136" spans="1:10" x14ac:dyDescent="0.2">
      <c r="B136" t="s">
        <v>117</v>
      </c>
      <c r="D136" s="11">
        <f>D71</f>
        <v>45</v>
      </c>
      <c r="E136" s="11">
        <f t="shared" ref="E136:H136" si="41">E71</f>
        <v>11.7</v>
      </c>
      <c r="F136" s="11">
        <f t="shared" si="41"/>
        <v>15.084000000000001</v>
      </c>
      <c r="G136" s="11">
        <f t="shared" si="41"/>
        <v>18.873180000000001</v>
      </c>
      <c r="H136" s="11">
        <f t="shared" si="41"/>
        <v>22.664295000000003</v>
      </c>
    </row>
    <row r="137" spans="1:10" x14ac:dyDescent="0.2">
      <c r="D137" s="11"/>
      <c r="E137" s="11"/>
      <c r="F137" s="11"/>
      <c r="G137" s="11"/>
      <c r="H137" s="11"/>
    </row>
    <row r="138" spans="1:10" s="1" customFormat="1" x14ac:dyDescent="0.2">
      <c r="B138" s="1" t="s">
        <v>192</v>
      </c>
      <c r="D138" s="19">
        <f>-D136</f>
        <v>-45</v>
      </c>
      <c r="E138" s="19">
        <f t="shared" ref="E138:H138" si="42">-E136</f>
        <v>-11.7</v>
      </c>
      <c r="F138" s="19">
        <f t="shared" si="42"/>
        <v>-15.084000000000001</v>
      </c>
      <c r="G138" s="19">
        <f t="shared" si="42"/>
        <v>-18.873180000000001</v>
      </c>
      <c r="H138" s="19">
        <f t="shared" si="42"/>
        <v>-22.664295000000003</v>
      </c>
    </row>
    <row r="139" spans="1:10" x14ac:dyDescent="0.2">
      <c r="D139" s="11"/>
      <c r="E139" s="11"/>
      <c r="F139" s="11"/>
      <c r="G139" s="11"/>
      <c r="H139" s="11"/>
    </row>
    <row r="140" spans="1:10" x14ac:dyDescent="0.2">
      <c r="B140" s="20"/>
      <c r="J140" t="s">
        <v>195</v>
      </c>
    </row>
    <row r="141" spans="1:10" x14ac:dyDescent="0.2">
      <c r="J141" t="s">
        <v>202</v>
      </c>
    </row>
    <row r="142" spans="1:10" x14ac:dyDescent="0.2">
      <c r="A142" t="s">
        <v>118</v>
      </c>
    </row>
    <row r="143" spans="1:10" ht="17" thickBot="1" x14ac:dyDescent="0.25">
      <c r="B143" s="17" t="s">
        <v>1</v>
      </c>
      <c r="J143" s="21" t="s">
        <v>197</v>
      </c>
    </row>
    <row r="144" spans="1:10" x14ac:dyDescent="0.2">
      <c r="B144" t="s">
        <v>2</v>
      </c>
      <c r="D144">
        <f>IF(C177+D133-D149-D55&gt;0, 0,-(C177+D133-D149-D55))</f>
        <v>22.145536513486249</v>
      </c>
      <c r="E144">
        <f t="shared" ref="E144:H144" si="43">IF(D177+E133-E149-E55&gt;0, 0,-(D177+E133-E149-E55))</f>
        <v>0</v>
      </c>
      <c r="F144">
        <f t="shared" si="43"/>
        <v>0</v>
      </c>
      <c r="G144">
        <f t="shared" si="43"/>
        <v>0</v>
      </c>
      <c r="H144">
        <f t="shared" si="43"/>
        <v>0</v>
      </c>
      <c r="J144" t="s">
        <v>193</v>
      </c>
    </row>
    <row r="145" spans="1:10" x14ac:dyDescent="0.2">
      <c r="B145" t="s">
        <v>119</v>
      </c>
      <c r="D145">
        <f>IF(C180+D133+D138+D144+D171-D155-D55-D161-D162&gt;0,0,-(C180+D133+D138+D144+D171-D155-D55-D161-D162)*$E$36)</f>
        <v>31.499999999999996</v>
      </c>
      <c r="E145">
        <f>IF(D177+E133+E138+E144+E171-E155-E55-E161-E162&gt;0,0,-(D177+E133+E138+E144+E171-E155-E55-E161-E162)*$E$36)</f>
        <v>7.1440134099623647</v>
      </c>
      <c r="F145">
        <f>IF(E177+F133+F138+F144+F171-F155-F55-F161-F162&gt;0,0,-(E177+F133+F138+F144+F171-F155-F55-F161-F162)*$E$36)</f>
        <v>0</v>
      </c>
      <c r="G145">
        <f>IF(F177+G133+G138+G144+G171-G155-G55-G161-G162&gt;0,0,-(F177+G133+G138+G144+G171-G155-G55-G161-G162)*$E$36)</f>
        <v>0.34241177266223644</v>
      </c>
      <c r="H145">
        <f>IF(G177+H133+H138+H144+H171-H155-H55-H161-H162&gt;0,0,-(G177+H133+H138+H144+H171-H155-H55-H161-H162)*$E$36)</f>
        <v>10.998394061860756</v>
      </c>
      <c r="J145" t="s">
        <v>194</v>
      </c>
    </row>
    <row r="146" spans="1:10" ht="17" thickBot="1" x14ac:dyDescent="0.25">
      <c r="B146" s="17" t="s">
        <v>3</v>
      </c>
    </row>
    <row r="147" spans="1:10" x14ac:dyDescent="0.2">
      <c r="B147" t="s">
        <v>4</v>
      </c>
      <c r="D147">
        <f t="shared" ref="D147:H148" si="44">D184</f>
        <v>0</v>
      </c>
      <c r="E147">
        <f t="shared" si="44"/>
        <v>22.145536513486249</v>
      </c>
      <c r="F147">
        <f t="shared" si="44"/>
        <v>0</v>
      </c>
      <c r="G147">
        <f t="shared" si="44"/>
        <v>0</v>
      </c>
      <c r="H147">
        <f t="shared" si="44"/>
        <v>0</v>
      </c>
    </row>
    <row r="148" spans="1:10" x14ac:dyDescent="0.2">
      <c r="B148" t="s">
        <v>120</v>
      </c>
      <c r="D148">
        <f t="shared" si="44"/>
        <v>0</v>
      </c>
      <c r="E148">
        <f t="shared" si="44"/>
        <v>2.9054943905693991</v>
      </c>
      <c r="F148">
        <f t="shared" si="44"/>
        <v>0</v>
      </c>
      <c r="G148">
        <f t="shared" si="44"/>
        <v>0</v>
      </c>
      <c r="H148">
        <f t="shared" si="44"/>
        <v>0</v>
      </c>
    </row>
    <row r="149" spans="1:10" x14ac:dyDescent="0.2">
      <c r="B149" s="14" t="s">
        <v>121</v>
      </c>
      <c r="C149" s="14"/>
      <c r="D149" s="14">
        <f>D147+D148</f>
        <v>0</v>
      </c>
      <c r="E149" s="14">
        <f>E147+E148</f>
        <v>25.051030904055647</v>
      </c>
      <c r="F149" s="14">
        <f>F147+F148</f>
        <v>0</v>
      </c>
      <c r="G149" s="14">
        <f>G147+G148</f>
        <v>0</v>
      </c>
      <c r="H149" s="14">
        <f>H147+H148</f>
        <v>0</v>
      </c>
    </row>
    <row r="151" spans="1:10" x14ac:dyDescent="0.2">
      <c r="B151" t="s">
        <v>122</v>
      </c>
      <c r="D151">
        <f t="shared" ref="D151:H152" si="45">D206</f>
        <v>0</v>
      </c>
      <c r="E151">
        <f t="shared" si="45"/>
        <v>3.1499999999999995</v>
      </c>
      <c r="F151">
        <f t="shared" si="45"/>
        <v>3.8644013409962357</v>
      </c>
      <c r="G151">
        <f t="shared" si="45"/>
        <v>3.8644013409962357</v>
      </c>
      <c r="H151">
        <f t="shared" si="45"/>
        <v>3.8986425182624593</v>
      </c>
    </row>
    <row r="152" spans="1:10" x14ac:dyDescent="0.2">
      <c r="B152" t="s">
        <v>123</v>
      </c>
      <c r="D152">
        <f t="shared" si="45"/>
        <v>0</v>
      </c>
      <c r="E152">
        <f t="shared" si="45"/>
        <v>4.132800000000004</v>
      </c>
      <c r="F152">
        <f t="shared" si="45"/>
        <v>4.4757950909962556</v>
      </c>
      <c r="G152">
        <f t="shared" si="45"/>
        <v>3.9884940818966301</v>
      </c>
      <c r="H152">
        <f t="shared" si="45"/>
        <v>3.4010223225764924</v>
      </c>
    </row>
    <row r="153" spans="1:10" x14ac:dyDescent="0.2">
      <c r="B153" s="14" t="s">
        <v>180</v>
      </c>
      <c r="C153" s="14"/>
      <c r="D153" s="14">
        <f>D151+D152</f>
        <v>0</v>
      </c>
      <c r="E153" s="14">
        <f>E151+E152</f>
        <v>7.2828000000000035</v>
      </c>
      <c r="F153" s="14">
        <f>F151+F152</f>
        <v>8.3401964319924922</v>
      </c>
      <c r="G153" s="14">
        <f>G151+G152</f>
        <v>7.8528954228928658</v>
      </c>
      <c r="H153" s="14">
        <f>H151+H152</f>
        <v>7.2996648408389522</v>
      </c>
    </row>
    <row r="155" spans="1:10" x14ac:dyDescent="0.2">
      <c r="B155" t="s">
        <v>124</v>
      </c>
      <c r="D155">
        <f>D149+D153</f>
        <v>0</v>
      </c>
      <c r="E155">
        <f>E149+E153</f>
        <v>32.333830904055652</v>
      </c>
      <c r="F155">
        <f>F149+F153</f>
        <v>8.3401964319924922</v>
      </c>
      <c r="G155">
        <f>G149+G153</f>
        <v>7.8528954228928658</v>
      </c>
      <c r="H155">
        <f>H149+H153</f>
        <v>7.2996648408389522</v>
      </c>
    </row>
    <row r="157" spans="1:10" s="1" customFormat="1" x14ac:dyDescent="0.2">
      <c r="B157" s="1" t="s">
        <v>5</v>
      </c>
      <c r="D157" s="1">
        <f>D144+D145-D155</f>
        <v>53.645536513486249</v>
      </c>
      <c r="E157" s="1">
        <f>E144+E145-E155</f>
        <v>-25.189817494093287</v>
      </c>
      <c r="F157" s="1">
        <f>F144+F145-F155</f>
        <v>-8.3401964319924922</v>
      </c>
      <c r="G157" s="1">
        <f>G144+G145-G155</f>
        <v>-7.5104836502306291</v>
      </c>
      <c r="H157" s="1">
        <f>H144+H145-H155</f>
        <v>3.6987292210218037</v>
      </c>
    </row>
    <row r="159" spans="1:10" x14ac:dyDescent="0.2">
      <c r="A159" t="s">
        <v>125</v>
      </c>
    </row>
    <row r="160" spans="1:10" x14ac:dyDescent="0.2">
      <c r="B160" t="s">
        <v>181</v>
      </c>
      <c r="D160">
        <f>D145/$E$36*(1-$E$36)</f>
        <v>13.500000000000002</v>
      </c>
      <c r="E160">
        <f>E145/$E$36*(1-$E$36)</f>
        <v>3.0617200328410141</v>
      </c>
      <c r="F160">
        <f>F145/$E$36*(1-$E$36)</f>
        <v>0</v>
      </c>
      <c r="G160">
        <f t="shared" ref="G160:H160" si="46">G145/$E$36*(1-$E$36)</f>
        <v>0.14674790256952994</v>
      </c>
      <c r="H160">
        <f t="shared" si="46"/>
        <v>4.7135974550831818</v>
      </c>
    </row>
    <row r="161" spans="1:10" x14ac:dyDescent="0.2">
      <c r="B161" t="s">
        <v>126</v>
      </c>
      <c r="D161">
        <f>C232</f>
        <v>0</v>
      </c>
      <c r="E161">
        <f>D232</f>
        <v>0</v>
      </c>
      <c r="F161">
        <f>E232</f>
        <v>7.6954814913529459</v>
      </c>
      <c r="G161">
        <f t="shared" ref="G161:H161" si="47">F232</f>
        <v>9.6141927468806667</v>
      </c>
      <c r="H161">
        <f t="shared" si="47"/>
        <v>10.892965391041301</v>
      </c>
      <c r="J161" t="s">
        <v>207</v>
      </c>
    </row>
    <row r="162" spans="1:10" x14ac:dyDescent="0.2">
      <c r="B162" t="s">
        <v>188</v>
      </c>
      <c r="D162">
        <f>D39*D69</f>
        <v>0</v>
      </c>
      <c r="E162">
        <f t="shared" ref="E162:F162" si="48">E39*E69</f>
        <v>0</v>
      </c>
      <c r="F162">
        <f t="shared" si="48"/>
        <v>0</v>
      </c>
      <c r="G162">
        <f t="shared" ref="G162:H162" si="49">G39*G69</f>
        <v>0</v>
      </c>
      <c r="H162">
        <f t="shared" si="49"/>
        <v>0</v>
      </c>
      <c r="J162" t="s">
        <v>189</v>
      </c>
    </row>
    <row r="164" spans="1:10" s="1" customFormat="1" x14ac:dyDescent="0.2">
      <c r="B164" s="1" t="s">
        <v>187</v>
      </c>
      <c r="D164" s="1">
        <f>D160-D161-D162</f>
        <v>13.500000000000002</v>
      </c>
      <c r="E164" s="1">
        <f>E160-E161-E162</f>
        <v>3.0617200328410141</v>
      </c>
      <c r="F164" s="1">
        <f>F160-F161-F162</f>
        <v>-7.6954814913529459</v>
      </c>
      <c r="G164" s="1">
        <f t="shared" ref="G164:H164" si="50">G160-G161-G162</f>
        <v>-9.467444844311137</v>
      </c>
      <c r="H164" s="1">
        <f t="shared" si="50"/>
        <v>-6.1793679359581191</v>
      </c>
    </row>
    <row r="166" spans="1:10" x14ac:dyDescent="0.2">
      <c r="B166" s="20"/>
    </row>
    <row r="168" spans="1:10" x14ac:dyDescent="0.2">
      <c r="A168" t="s">
        <v>127</v>
      </c>
    </row>
    <row r="169" spans="1:10" x14ac:dyDescent="0.2">
      <c r="B169" t="s">
        <v>128</v>
      </c>
      <c r="D169">
        <f>C172</f>
        <v>0</v>
      </c>
      <c r="E169">
        <f>D172</f>
        <v>0</v>
      </c>
      <c r="F169" s="11">
        <f>E172</f>
        <v>1.7763568394002505E-15</v>
      </c>
      <c r="G169">
        <f>F172</f>
        <v>5.7102990755630856E-2</v>
      </c>
      <c r="H169">
        <f>G172</f>
        <v>0</v>
      </c>
      <c r="J169" t="s">
        <v>190</v>
      </c>
    </row>
    <row r="170" spans="1:10" x14ac:dyDescent="0.2">
      <c r="B170" t="s">
        <v>129</v>
      </c>
      <c r="D170">
        <f>D169*D58</f>
        <v>0</v>
      </c>
      <c r="E170">
        <f>E169*E58</f>
        <v>0</v>
      </c>
      <c r="F170" s="11">
        <f>F169*F58</f>
        <v>9.9653618690354145E-17</v>
      </c>
      <c r="G170">
        <f>G169*G58</f>
        <v>3.203477781390894E-3</v>
      </c>
      <c r="H170">
        <f>H169*H58</f>
        <v>0</v>
      </c>
    </row>
    <row r="171" spans="1:10" x14ac:dyDescent="0.2">
      <c r="B171" s="14" t="s">
        <v>130</v>
      </c>
      <c r="C171" s="14"/>
      <c r="D171" s="14">
        <f>D169+D170</f>
        <v>0</v>
      </c>
      <c r="E171" s="14">
        <f>E169+E170</f>
        <v>0</v>
      </c>
      <c r="F171" s="15">
        <f>F169+F170</f>
        <v>1.8760104580906046E-15</v>
      </c>
      <c r="G171" s="14">
        <f>G169+G170</f>
        <v>6.0306468537021748E-2</v>
      </c>
      <c r="H171" s="14">
        <f>H169+H170</f>
        <v>0</v>
      </c>
    </row>
    <row r="172" spans="1:10" x14ac:dyDescent="0.2">
      <c r="B172" t="s">
        <v>131</v>
      </c>
      <c r="D172" s="11">
        <f>D133+D138+D157+D164+D171-D55</f>
        <v>0</v>
      </c>
      <c r="E172" s="11">
        <f>IF(D177+E133+E138+E157+E164+E171-E55&lt;0,0,D177+E133+E138+E157+E164+E171-E55)</f>
        <v>1.7763568394002505E-15</v>
      </c>
      <c r="F172" s="11">
        <f t="shared" ref="F172:H172" si="51">IF(E177+F133+F138+F157+F164+F171-F55&lt;0,0,E177+F133+F138+F157+F164+F171-F55)</f>
        <v>5.7102990755630856E-2</v>
      </c>
      <c r="G172" s="11">
        <f t="shared" si="51"/>
        <v>0</v>
      </c>
      <c r="H172" s="11">
        <f t="shared" si="51"/>
        <v>0</v>
      </c>
    </row>
    <row r="174" spans="1:10" s="1" customFormat="1" x14ac:dyDescent="0.2">
      <c r="B174" s="1" t="s">
        <v>6</v>
      </c>
      <c r="D174" s="19">
        <f>D171-D172</f>
        <v>0</v>
      </c>
      <c r="E174" s="19">
        <f>E171-E172</f>
        <v>-1.7763568394002505E-15</v>
      </c>
      <c r="F174" s="19">
        <f>F171-F172</f>
        <v>-5.7102990755628982E-2</v>
      </c>
      <c r="G174" s="19">
        <f>G171-G172</f>
        <v>6.0306468537021748E-2</v>
      </c>
      <c r="H174" s="19">
        <f>H171-H172</f>
        <v>0</v>
      </c>
    </row>
    <row r="176" spans="1:10" s="1" customFormat="1" x14ac:dyDescent="0.2">
      <c r="B176" s="1" t="s">
        <v>132</v>
      </c>
      <c r="D176" s="19">
        <f>D133+D138+D157+D164+D174</f>
        <v>13.000000000000002</v>
      </c>
      <c r="E176" s="19">
        <f>E133+E138+E157+E164+E174</f>
        <v>2.1705370883080053</v>
      </c>
      <c r="F176" s="19">
        <f>F133+F138+F157+F164+F174</f>
        <v>1.1560783640830463</v>
      </c>
      <c r="G176" s="19">
        <f>G133+G138+G157+G164+G174</f>
        <v>1.4181461448101467</v>
      </c>
      <c r="H176" s="19">
        <f>H133+H138+H157+H164+H174</f>
        <v>1.4499244701073017</v>
      </c>
    </row>
    <row r="177" spans="1:10" s="1" customFormat="1" x14ac:dyDescent="0.2">
      <c r="B177" s="1" t="s">
        <v>133</v>
      </c>
      <c r="D177" s="19">
        <f>C177+D176</f>
        <v>13.000000000000002</v>
      </c>
      <c r="E177" s="19">
        <f>D177+E176</f>
        <v>15.170537088308008</v>
      </c>
      <c r="F177" s="19">
        <f>E177+F176</f>
        <v>16.326615452391053</v>
      </c>
      <c r="G177" s="19">
        <f>F177+G176</f>
        <v>17.744761597201201</v>
      </c>
      <c r="H177" s="19">
        <f>G177+H176</f>
        <v>19.194686067308503</v>
      </c>
    </row>
    <row r="179" spans="1:10" x14ac:dyDescent="0.2">
      <c r="A179" t="s">
        <v>134</v>
      </c>
    </row>
    <row r="180" spans="1:10" x14ac:dyDescent="0.2">
      <c r="B180" s="22" t="s">
        <v>191</v>
      </c>
      <c r="C180" s="22"/>
      <c r="D180" s="23">
        <f>D177-D55</f>
        <v>0</v>
      </c>
      <c r="E180" s="23">
        <f>E177-E55</f>
        <v>0</v>
      </c>
      <c r="F180" s="23">
        <f>F177-F55</f>
        <v>0</v>
      </c>
      <c r="G180" s="23">
        <f>G177-G55</f>
        <v>0</v>
      </c>
      <c r="H180" s="23">
        <f>H177-H55</f>
        <v>0</v>
      </c>
    </row>
    <row r="183" spans="1:10" x14ac:dyDescent="0.2">
      <c r="A183" t="s">
        <v>135</v>
      </c>
      <c r="J183" t="s">
        <v>196</v>
      </c>
    </row>
    <row r="184" spans="1:10" x14ac:dyDescent="0.2">
      <c r="B184" t="s">
        <v>8</v>
      </c>
      <c r="D184">
        <v>0</v>
      </c>
      <c r="E184">
        <f>D189</f>
        <v>22.145536513486249</v>
      </c>
      <c r="F184">
        <f>E189</f>
        <v>0</v>
      </c>
      <c r="G184">
        <f>F189</f>
        <v>0</v>
      </c>
      <c r="H184">
        <f>G189</f>
        <v>0</v>
      </c>
    </row>
    <row r="185" spans="1:10" x14ac:dyDescent="0.2">
      <c r="B185" t="s">
        <v>182</v>
      </c>
      <c r="D185">
        <f>C189*$E$59</f>
        <v>0</v>
      </c>
      <c r="E185">
        <f>D189*$E$59</f>
        <v>2.9054943905693991</v>
      </c>
      <c r="F185">
        <f>E189*$E$59</f>
        <v>0</v>
      </c>
      <c r="G185">
        <f>F189*$E$59</f>
        <v>0</v>
      </c>
      <c r="H185">
        <f>G189*$E$59</f>
        <v>0</v>
      </c>
    </row>
    <row r="186" spans="1:10" x14ac:dyDescent="0.2">
      <c r="B186" t="s">
        <v>183</v>
      </c>
      <c r="D186">
        <f>C189</f>
        <v>0</v>
      </c>
      <c r="E186">
        <f>D189</f>
        <v>22.145536513486249</v>
      </c>
      <c r="F186">
        <f>E189</f>
        <v>0</v>
      </c>
      <c r="G186">
        <f>F189</f>
        <v>0</v>
      </c>
      <c r="H186">
        <f>G189</f>
        <v>0</v>
      </c>
    </row>
    <row r="187" spans="1:10" x14ac:dyDescent="0.2">
      <c r="B187" s="14" t="s">
        <v>184</v>
      </c>
      <c r="C187" s="14"/>
      <c r="D187" s="14">
        <v>0</v>
      </c>
      <c r="E187" s="14">
        <f>E185+E186</f>
        <v>25.051030904055647</v>
      </c>
      <c r="F187" s="14">
        <f>F185+F186</f>
        <v>0</v>
      </c>
      <c r="G187" s="14">
        <f>G185+G186</f>
        <v>0</v>
      </c>
      <c r="H187" s="14">
        <f>H185+H186</f>
        <v>0</v>
      </c>
    </row>
    <row r="189" spans="1:10" x14ac:dyDescent="0.2">
      <c r="B189" t="s">
        <v>7</v>
      </c>
      <c r="D189">
        <f>D144</f>
        <v>22.145536513486249</v>
      </c>
      <c r="E189">
        <f>E144</f>
        <v>0</v>
      </c>
      <c r="F189">
        <f>F144</f>
        <v>0</v>
      </c>
      <c r="G189">
        <f>G144</f>
        <v>0</v>
      </c>
      <c r="H189">
        <f>H144</f>
        <v>0</v>
      </c>
    </row>
    <row r="192" spans="1:10" x14ac:dyDescent="0.2">
      <c r="A192" s="2" t="s">
        <v>136</v>
      </c>
      <c r="B192" s="2"/>
    </row>
    <row r="193" spans="1:8" x14ac:dyDescent="0.2">
      <c r="A193" s="2"/>
      <c r="B193" s="2" t="s">
        <v>137</v>
      </c>
      <c r="D193">
        <v>0</v>
      </c>
      <c r="E193">
        <f>D211</f>
        <v>31.499999999999996</v>
      </c>
      <c r="F193">
        <f>E211</f>
        <v>35.494013409962363</v>
      </c>
      <c r="G193">
        <f>F211</f>
        <v>31.629612068966129</v>
      </c>
      <c r="H193">
        <f>G211</f>
        <v>28.107622500632129</v>
      </c>
    </row>
    <row r="194" spans="1:8" x14ac:dyDescent="0.2">
      <c r="A194" s="2"/>
      <c r="B194" s="2" t="s">
        <v>138</v>
      </c>
      <c r="D194">
        <f>D145</f>
        <v>31.499999999999996</v>
      </c>
    </row>
    <row r="195" spans="1:8" x14ac:dyDescent="0.2">
      <c r="A195" s="2"/>
      <c r="B195" s="2" t="s">
        <v>139</v>
      </c>
      <c r="E195">
        <f>D194/10</f>
        <v>3.1499999999999995</v>
      </c>
      <c r="F195">
        <f>E195</f>
        <v>3.1499999999999995</v>
      </c>
      <c r="G195">
        <f t="shared" ref="G195:H195" si="52">F195</f>
        <v>3.1499999999999995</v>
      </c>
      <c r="H195">
        <f t="shared" si="52"/>
        <v>3.1499999999999995</v>
      </c>
    </row>
    <row r="196" spans="1:8" x14ac:dyDescent="0.2">
      <c r="A196" s="2"/>
      <c r="B196" s="2" t="s">
        <v>140</v>
      </c>
      <c r="E196">
        <f>E145</f>
        <v>7.1440134099623647</v>
      </c>
    </row>
    <row r="197" spans="1:8" x14ac:dyDescent="0.2">
      <c r="A197" s="2"/>
      <c r="B197" s="2" t="s">
        <v>141</v>
      </c>
      <c r="F197">
        <f>E196/10</f>
        <v>0.71440134099623642</v>
      </c>
      <c r="G197">
        <f>F197</f>
        <v>0.71440134099623642</v>
      </c>
      <c r="H197">
        <f>G197</f>
        <v>0.71440134099623642</v>
      </c>
    </row>
    <row r="198" spans="1:8" x14ac:dyDescent="0.2">
      <c r="A198" s="2"/>
      <c r="B198" s="2" t="s">
        <v>142</v>
      </c>
      <c r="F198">
        <f>F145</f>
        <v>0</v>
      </c>
    </row>
    <row r="199" spans="1:8" x14ac:dyDescent="0.2">
      <c r="A199" s="2"/>
      <c r="B199" s="2" t="s">
        <v>143</v>
      </c>
      <c r="G199">
        <v>0</v>
      </c>
      <c r="H199">
        <v>0</v>
      </c>
    </row>
    <row r="200" spans="1:8" x14ac:dyDescent="0.2">
      <c r="A200" s="2"/>
      <c r="B200" s="2" t="s">
        <v>144</v>
      </c>
      <c r="G200">
        <f>G145</f>
        <v>0.34241177266223644</v>
      </c>
    </row>
    <row r="201" spans="1:8" x14ac:dyDescent="0.2">
      <c r="A201" s="2"/>
      <c r="B201" s="2" t="s">
        <v>145</v>
      </c>
      <c r="H201">
        <f>G200/10</f>
        <v>3.4241177266223645E-2</v>
      </c>
    </row>
    <row r="202" spans="1:8" x14ac:dyDescent="0.2">
      <c r="A202" s="2"/>
      <c r="B202" s="2" t="s">
        <v>146</v>
      </c>
      <c r="H202">
        <f>H145</f>
        <v>10.998394061860756</v>
      </c>
    </row>
    <row r="203" spans="1:8" x14ac:dyDescent="0.2">
      <c r="A203" s="2"/>
      <c r="B203" s="2"/>
    </row>
    <row r="204" spans="1:8" x14ac:dyDescent="0.2">
      <c r="A204" s="2"/>
      <c r="B204" s="2" t="s">
        <v>147</v>
      </c>
      <c r="D204">
        <f>D194+D196+D198+D200+D202</f>
        <v>31.499999999999996</v>
      </c>
      <c r="E204">
        <f>E196</f>
        <v>7.1440134099623647</v>
      </c>
      <c r="F204">
        <f>F198</f>
        <v>0</v>
      </c>
      <c r="G204">
        <f>G200</f>
        <v>0.34241177266223644</v>
      </c>
      <c r="H204">
        <f>H202</f>
        <v>10.998394061860756</v>
      </c>
    </row>
    <row r="205" spans="1:8" x14ac:dyDescent="0.2">
      <c r="A205" s="2"/>
      <c r="B205" s="2"/>
    </row>
    <row r="206" spans="1:8" x14ac:dyDescent="0.2">
      <c r="A206" s="2"/>
      <c r="B206" s="2" t="s">
        <v>148</v>
      </c>
      <c r="D206">
        <f>D195+D197+D199+D201</f>
        <v>0</v>
      </c>
      <c r="E206">
        <f>E195+E197+E199+E201</f>
        <v>3.1499999999999995</v>
      </c>
      <c r="F206">
        <f>F195+F197+F199+F201</f>
        <v>3.8644013409962357</v>
      </c>
      <c r="G206">
        <f>G195+G197+G199+G201</f>
        <v>3.8644013409962357</v>
      </c>
      <c r="H206">
        <f>H195+H197+H199+H201</f>
        <v>3.8986425182624593</v>
      </c>
    </row>
    <row r="207" spans="1:8" x14ac:dyDescent="0.2">
      <c r="A207" s="2"/>
      <c r="B207" s="2" t="s">
        <v>185</v>
      </c>
      <c r="D207">
        <f>D206*$D$59</f>
        <v>0</v>
      </c>
      <c r="E207">
        <f>D211*E59</f>
        <v>4.132800000000004</v>
      </c>
      <c r="F207">
        <f>E211*F59</f>
        <v>4.4757950909962556</v>
      </c>
      <c r="G207">
        <f>F211*G59</f>
        <v>3.9884940818966301</v>
      </c>
      <c r="H207">
        <f>G211*H59</f>
        <v>3.4010223225764924</v>
      </c>
    </row>
    <row r="208" spans="1:8" x14ac:dyDescent="0.2">
      <c r="A208" s="2"/>
      <c r="B208" s="5" t="s">
        <v>186</v>
      </c>
      <c r="C208" s="14"/>
      <c r="D208" s="14">
        <f>D206+D207</f>
        <v>0</v>
      </c>
      <c r="E208" s="14">
        <f>E206+E207</f>
        <v>7.2828000000000035</v>
      </c>
      <c r="F208" s="14">
        <f>F206+F207</f>
        <v>8.3401964319924922</v>
      </c>
      <c r="G208" s="14">
        <f>G206+G207</f>
        <v>7.8528954228928658</v>
      </c>
      <c r="H208" s="14">
        <f>H206+H207</f>
        <v>7.2996648408389522</v>
      </c>
    </row>
    <row r="209" spans="1:8" x14ac:dyDescent="0.2">
      <c r="A209" s="2"/>
    </row>
    <row r="210" spans="1:8" x14ac:dyDescent="0.2">
      <c r="A210" s="2"/>
      <c r="B210" s="2"/>
    </row>
    <row r="211" spans="1:8" x14ac:dyDescent="0.2">
      <c r="A211" s="2"/>
      <c r="B211" s="2" t="s">
        <v>149</v>
      </c>
      <c r="D211">
        <f>D204-D206</f>
        <v>31.499999999999996</v>
      </c>
      <c r="E211">
        <f>E193+E204-E206</f>
        <v>35.494013409962363</v>
      </c>
      <c r="F211">
        <f>F193+F204-F206</f>
        <v>31.629612068966129</v>
      </c>
      <c r="G211">
        <f>G193+G204-G206</f>
        <v>28.107622500632129</v>
      </c>
      <c r="H211">
        <f>H193+H204-H206</f>
        <v>35.20737404423042</v>
      </c>
    </row>
    <row r="212" spans="1:8" x14ac:dyDescent="0.2">
      <c r="A212" s="2"/>
    </row>
    <row r="213" spans="1:8" x14ac:dyDescent="0.2">
      <c r="A213" s="2"/>
    </row>
    <row r="216" spans="1:8" x14ac:dyDescent="0.2">
      <c r="A216" s="2" t="s">
        <v>9</v>
      </c>
      <c r="B216" s="2"/>
    </row>
    <row r="217" spans="1:8" x14ac:dyDescent="0.2">
      <c r="A217" s="2"/>
      <c r="B217" s="2" t="s">
        <v>150</v>
      </c>
      <c r="D217">
        <f>D98</f>
        <v>0</v>
      </c>
      <c r="E217">
        <f>E98</f>
        <v>379.26342720770003</v>
      </c>
      <c r="F217">
        <f t="shared" ref="F217:G217" si="53">F98</f>
        <v>408.16538630977641</v>
      </c>
      <c r="G217">
        <f t="shared" si="53"/>
        <v>443.61903993002988</v>
      </c>
      <c r="H217">
        <f>H98</f>
        <v>479.86715168271263</v>
      </c>
    </row>
    <row r="218" spans="1:8" x14ac:dyDescent="0.2">
      <c r="A218" s="2"/>
      <c r="B218" s="2" t="s">
        <v>76</v>
      </c>
      <c r="D218" s="11">
        <f>D86</f>
        <v>0</v>
      </c>
      <c r="E218" s="11">
        <f>E86</f>
        <v>268.25534677774999</v>
      </c>
      <c r="F218" s="11">
        <f t="shared" ref="F218:H218" si="54">F86</f>
        <v>287.31326434290753</v>
      </c>
      <c r="G218" s="11">
        <f t="shared" si="54"/>
        <v>310.73804873397933</v>
      </c>
      <c r="H218" s="11">
        <f t="shared" si="54"/>
        <v>336.12293393490472</v>
      </c>
    </row>
    <row r="219" spans="1:8" x14ac:dyDescent="0.2">
      <c r="A219" s="2"/>
      <c r="B219" s="5" t="s">
        <v>151</v>
      </c>
      <c r="C219" s="14"/>
      <c r="D219" s="15">
        <f>D217-D218</f>
        <v>0</v>
      </c>
      <c r="E219" s="15">
        <f t="shared" ref="E219:H219" si="55">E217-E218</f>
        <v>111.00808042995004</v>
      </c>
      <c r="F219" s="15">
        <f t="shared" si="55"/>
        <v>120.85212196686888</v>
      </c>
      <c r="G219" s="15">
        <f t="shared" si="55"/>
        <v>132.88099119605056</v>
      </c>
      <c r="H219" s="15">
        <f t="shared" si="55"/>
        <v>143.74421774780791</v>
      </c>
    </row>
    <row r="220" spans="1:8" x14ac:dyDescent="0.2">
      <c r="A220" s="2"/>
      <c r="B220" s="2"/>
      <c r="D220" s="11"/>
      <c r="E220" s="11"/>
      <c r="F220" s="11"/>
      <c r="G220" s="11"/>
      <c r="H220" s="11"/>
    </row>
    <row r="221" spans="1:8" x14ac:dyDescent="0.2">
      <c r="A221" s="2"/>
      <c r="B221" s="2" t="s">
        <v>80</v>
      </c>
      <c r="D221">
        <f>D94</f>
        <v>0</v>
      </c>
      <c r="E221">
        <f>E94</f>
        <v>75.806639904538997</v>
      </c>
      <c r="F221">
        <f t="shared" ref="F221:H221" si="56">F94</f>
        <v>81.071232926684345</v>
      </c>
      <c r="G221">
        <f t="shared" si="56"/>
        <v>87.009117314921468</v>
      </c>
      <c r="H221">
        <f t="shared" si="56"/>
        <v>92.948934164550352</v>
      </c>
    </row>
    <row r="222" spans="1:8" x14ac:dyDescent="0.2">
      <c r="A222" s="2"/>
      <c r="B222" s="2" t="s">
        <v>152</v>
      </c>
      <c r="D222">
        <f>D69</f>
        <v>0</v>
      </c>
      <c r="E222">
        <f t="shared" ref="E222:H222" si="57">E69</f>
        <v>11.25</v>
      </c>
      <c r="F222">
        <f t="shared" si="57"/>
        <v>14.175000000000001</v>
      </c>
      <c r="G222">
        <f t="shared" si="57"/>
        <v>17.946000000000002</v>
      </c>
      <c r="H222">
        <f t="shared" si="57"/>
        <v>22.664295000000003</v>
      </c>
    </row>
    <row r="223" spans="1:8" x14ac:dyDescent="0.2">
      <c r="A223" s="2"/>
      <c r="B223" s="5" t="s">
        <v>153</v>
      </c>
      <c r="C223" s="14"/>
      <c r="D223" s="15">
        <f>D219-D221-D222</f>
        <v>0</v>
      </c>
      <c r="E223" s="15">
        <f t="shared" ref="E223:H223" si="58">E219-E221-E222</f>
        <v>23.951440525411044</v>
      </c>
      <c r="F223" s="15">
        <f t="shared" si="58"/>
        <v>25.605889040184532</v>
      </c>
      <c r="G223" s="15">
        <f t="shared" si="58"/>
        <v>27.925873881129089</v>
      </c>
      <c r="H223" s="15">
        <f t="shared" si="58"/>
        <v>28.130988583257555</v>
      </c>
    </row>
    <row r="224" spans="1:8" x14ac:dyDescent="0.2">
      <c r="A224" s="2"/>
      <c r="B224" s="2"/>
    </row>
    <row r="225" spans="1:10" x14ac:dyDescent="0.2">
      <c r="A225" s="2"/>
      <c r="B225" s="2" t="s">
        <v>154</v>
      </c>
      <c r="D225">
        <f>D148+D152</f>
        <v>0</v>
      </c>
      <c r="E225">
        <f t="shared" ref="E225:H225" si="59">E148+E152</f>
        <v>7.0382943905694031</v>
      </c>
      <c r="F225">
        <f t="shared" si="59"/>
        <v>4.4757950909962556</v>
      </c>
      <c r="G225">
        <f t="shared" si="59"/>
        <v>3.9884940818966301</v>
      </c>
      <c r="H225">
        <f t="shared" si="59"/>
        <v>3.4010223225764924</v>
      </c>
    </row>
    <row r="226" spans="1:10" x14ac:dyDescent="0.2">
      <c r="A226" s="2"/>
      <c r="B226" s="2" t="s">
        <v>129</v>
      </c>
      <c r="D226">
        <f>D170</f>
        <v>0</v>
      </c>
      <c r="E226">
        <f t="shared" ref="E226:H226" si="60">E170</f>
        <v>0</v>
      </c>
      <c r="F226" s="11">
        <f t="shared" si="60"/>
        <v>9.9653618690354145E-17</v>
      </c>
      <c r="G226">
        <f t="shared" si="60"/>
        <v>3.203477781390894E-3</v>
      </c>
      <c r="H226">
        <f t="shared" si="60"/>
        <v>0</v>
      </c>
      <c r="J226" t="s">
        <v>206</v>
      </c>
    </row>
    <row r="227" spans="1:10" x14ac:dyDescent="0.2">
      <c r="A227" s="2"/>
      <c r="B227" s="5" t="s">
        <v>155</v>
      </c>
      <c r="C227" s="14"/>
      <c r="D227" s="15">
        <f>D223-D225+D226</f>
        <v>0</v>
      </c>
      <c r="E227" s="15">
        <f t="shared" ref="E227:H227" si="61">E223-E225+E226</f>
        <v>16.913146134841639</v>
      </c>
      <c r="F227" s="15">
        <f t="shared" si="61"/>
        <v>21.130093949188279</v>
      </c>
      <c r="G227" s="15">
        <f t="shared" si="61"/>
        <v>23.94058327701385</v>
      </c>
      <c r="H227" s="15">
        <f t="shared" si="61"/>
        <v>24.729966260681064</v>
      </c>
    </row>
    <row r="228" spans="1:10" x14ac:dyDescent="0.2">
      <c r="A228" s="2"/>
      <c r="B228" s="2"/>
      <c r="D228" s="11"/>
      <c r="E228" s="11"/>
      <c r="F228" s="11"/>
      <c r="G228" s="11"/>
      <c r="H228" s="11"/>
    </row>
    <row r="229" spans="1:10" x14ac:dyDescent="0.2">
      <c r="A229" s="2"/>
      <c r="B229" s="2" t="s">
        <v>113</v>
      </c>
      <c r="D229">
        <f>D227*$D$9</f>
        <v>0</v>
      </c>
      <c r="E229">
        <f t="shared" ref="E229:H229" si="62">E227*$D$9</f>
        <v>5.9196011471945731</v>
      </c>
      <c r="F229">
        <f>F227*$D$9</f>
        <v>7.395532882215897</v>
      </c>
      <c r="G229">
        <f t="shared" si="62"/>
        <v>8.3792041469548479</v>
      </c>
      <c r="H229">
        <f t="shared" si="62"/>
        <v>8.655488191238371</v>
      </c>
    </row>
    <row r="230" spans="1:10" x14ac:dyDescent="0.2">
      <c r="A230" s="2"/>
      <c r="B230" s="5" t="s">
        <v>156</v>
      </c>
      <c r="C230" s="14"/>
      <c r="D230" s="15">
        <f>D227-D229</f>
        <v>0</v>
      </c>
      <c r="E230" s="15">
        <f t="shared" ref="E230:H230" si="63">E227-E229</f>
        <v>10.993544987647066</v>
      </c>
      <c r="F230" s="15">
        <f t="shared" si="63"/>
        <v>13.734561066972383</v>
      </c>
      <c r="G230" s="15">
        <f t="shared" si="63"/>
        <v>15.561379130059002</v>
      </c>
      <c r="H230" s="15">
        <f t="shared" si="63"/>
        <v>16.074478069442691</v>
      </c>
    </row>
    <row r="231" spans="1:10" x14ac:dyDescent="0.2">
      <c r="A231" s="2"/>
      <c r="B231" s="2"/>
      <c r="D231" s="11"/>
      <c r="E231" s="11"/>
      <c r="F231" s="11"/>
      <c r="G231" s="11"/>
      <c r="H231" s="11"/>
    </row>
    <row r="232" spans="1:10" x14ac:dyDescent="0.2">
      <c r="A232" s="2"/>
      <c r="B232" s="2" t="s">
        <v>157</v>
      </c>
      <c r="D232">
        <f>D230*$E$34</f>
        <v>0</v>
      </c>
      <c r="E232">
        <f t="shared" ref="E232:H232" si="64">E230*$E$34</f>
        <v>7.6954814913529459</v>
      </c>
      <c r="F232">
        <f t="shared" si="64"/>
        <v>9.6141927468806667</v>
      </c>
      <c r="G232">
        <f t="shared" si="64"/>
        <v>10.892965391041301</v>
      </c>
      <c r="H232">
        <f t="shared" si="64"/>
        <v>11.252134648609882</v>
      </c>
      <c r="J232" t="s">
        <v>198</v>
      </c>
    </row>
    <row r="233" spans="1:10" x14ac:dyDescent="0.2">
      <c r="A233" s="2"/>
      <c r="B233" s="2" t="s">
        <v>158</v>
      </c>
      <c r="D233" s="11">
        <f>C233+D230-D232</f>
        <v>0</v>
      </c>
      <c r="E233" s="11">
        <f>D233+D230-D232</f>
        <v>0</v>
      </c>
      <c r="F233" s="11">
        <f t="shared" ref="F233:H233" si="65">E233+E230-E232</f>
        <v>3.2980634962941204</v>
      </c>
      <c r="G233" s="11">
        <f t="shared" si="65"/>
        <v>7.4184318163858354</v>
      </c>
      <c r="H233" s="11">
        <f t="shared" si="65"/>
        <v>12.086845555403535</v>
      </c>
      <c r="J233" t="s">
        <v>210</v>
      </c>
    </row>
    <row r="237" spans="1:10" x14ac:dyDescent="0.2">
      <c r="A237" s="2" t="s">
        <v>10</v>
      </c>
      <c r="B237" s="2"/>
    </row>
    <row r="238" spans="1:10" ht="19" thickBot="1" x14ac:dyDescent="0.3">
      <c r="A238" s="2"/>
      <c r="B238" s="3" t="s">
        <v>159</v>
      </c>
    </row>
    <row r="239" spans="1:10" ht="17" thickTop="1" x14ac:dyDescent="0.2">
      <c r="A239" s="2"/>
      <c r="B239" s="2" t="s">
        <v>160</v>
      </c>
      <c r="D239" s="11">
        <f>D177</f>
        <v>13.000000000000002</v>
      </c>
      <c r="E239" s="11">
        <f t="shared" ref="E239:H239" si="66">E177</f>
        <v>15.170537088308008</v>
      </c>
      <c r="F239" s="11">
        <f t="shared" si="66"/>
        <v>16.326615452391053</v>
      </c>
      <c r="G239" s="11">
        <f t="shared" si="66"/>
        <v>17.744761597201201</v>
      </c>
      <c r="H239" s="11">
        <f t="shared" si="66"/>
        <v>19.194686067308503</v>
      </c>
    </row>
    <row r="240" spans="1:10" x14ac:dyDescent="0.2">
      <c r="A240" s="2"/>
      <c r="B240" s="2" t="s">
        <v>161</v>
      </c>
      <c r="D240">
        <f>D99</f>
        <v>0</v>
      </c>
      <c r="E240">
        <f t="shared" ref="E240:H240" si="67">E99</f>
        <v>18.963171360385001</v>
      </c>
      <c r="F240">
        <f t="shared" si="67"/>
        <v>20.408269315488823</v>
      </c>
      <c r="G240">
        <f t="shared" si="67"/>
        <v>22.180951996501495</v>
      </c>
      <c r="H240">
        <f t="shared" si="67"/>
        <v>23.993357584135634</v>
      </c>
    </row>
    <row r="241" spans="1:10" x14ac:dyDescent="0.2">
      <c r="A241" s="2"/>
      <c r="B241" s="2" t="s">
        <v>162</v>
      </c>
      <c r="D241" s="11">
        <f>D85</f>
        <v>20</v>
      </c>
      <c r="E241" s="11">
        <f t="shared" ref="E241:H241" si="68">E85</f>
        <v>22.463445564812496</v>
      </c>
      <c r="F241" s="11">
        <f t="shared" si="68"/>
        <v>24.055604043693883</v>
      </c>
      <c r="G241" s="11">
        <f t="shared" si="68"/>
        <v>26.015666688976079</v>
      </c>
      <c r="H241" s="11">
        <f t="shared" si="68"/>
        <v>28.141406814132313</v>
      </c>
    </row>
    <row r="242" spans="1:10" x14ac:dyDescent="0.2">
      <c r="A242" s="2"/>
      <c r="B242" s="2" t="s">
        <v>163</v>
      </c>
      <c r="D242">
        <f>D116</f>
        <v>27.071879234256251</v>
      </c>
      <c r="E242">
        <f t="shared" ref="E242:H242" si="69">E116</f>
        <v>28.890542282178895</v>
      </c>
      <c r="F242">
        <f t="shared" si="69"/>
        <v>31.269811137926151</v>
      </c>
      <c r="G242">
        <f t="shared" si="69"/>
        <v>33.824867406006099</v>
      </c>
      <c r="H242">
        <f t="shared" si="69"/>
        <v>0</v>
      </c>
      <c r="J242" t="s">
        <v>201</v>
      </c>
    </row>
    <row r="243" spans="1:10" x14ac:dyDescent="0.2">
      <c r="A243" s="2"/>
      <c r="B243" s="2" t="s">
        <v>164</v>
      </c>
      <c r="D243" s="11">
        <f>D172</f>
        <v>0</v>
      </c>
      <c r="E243" s="11">
        <f t="shared" ref="E243:H243" si="70">E172</f>
        <v>1.7763568394002505E-15</v>
      </c>
      <c r="F243" s="11">
        <f t="shared" si="70"/>
        <v>5.7102990755630856E-2</v>
      </c>
      <c r="G243" s="11">
        <f t="shared" si="70"/>
        <v>0</v>
      </c>
      <c r="H243" s="11">
        <f t="shared" si="70"/>
        <v>0</v>
      </c>
      <c r="J243" t="s">
        <v>209</v>
      </c>
    </row>
    <row r="244" spans="1:10" x14ac:dyDescent="0.2">
      <c r="A244" s="2"/>
      <c r="B244" s="5" t="s">
        <v>165</v>
      </c>
      <c r="C244" s="14"/>
      <c r="D244" s="15">
        <f>SUM(D239:D243)</f>
        <v>60.071879234256251</v>
      </c>
      <c r="E244" s="15">
        <f t="shared" ref="E244:H244" si="71">SUM(E239:E243)</f>
        <v>85.487696295684401</v>
      </c>
      <c r="F244" s="15">
        <f t="shared" si="71"/>
        <v>92.117402940255545</v>
      </c>
      <c r="G244" s="15">
        <f t="shared" si="71"/>
        <v>99.766247688684871</v>
      </c>
      <c r="H244" s="15">
        <f t="shared" si="71"/>
        <v>71.329450465576443</v>
      </c>
    </row>
    <row r="245" spans="1:10" x14ac:dyDescent="0.2">
      <c r="A245" s="2"/>
      <c r="B245" s="2" t="s">
        <v>166</v>
      </c>
      <c r="D245" s="11">
        <f>D72</f>
        <v>45</v>
      </c>
      <c r="E245" s="11">
        <f t="shared" ref="E245:H245" si="72">E72</f>
        <v>45.45</v>
      </c>
      <c r="F245" s="11">
        <f t="shared" si="72"/>
        <v>46.359000000000002</v>
      </c>
      <c r="G245" s="11">
        <f t="shared" si="72"/>
        <v>47.286180000000002</v>
      </c>
      <c r="H245" s="11">
        <f t="shared" si="72"/>
        <v>47.286180000000002</v>
      </c>
    </row>
    <row r="246" spans="1:10" x14ac:dyDescent="0.2">
      <c r="A246" s="2"/>
      <c r="B246" s="2"/>
      <c r="D246" s="11"/>
      <c r="E246" s="11"/>
      <c r="F246" s="11"/>
      <c r="G246" s="11"/>
      <c r="H246" s="11"/>
    </row>
    <row r="247" spans="1:10" x14ac:dyDescent="0.2">
      <c r="A247" s="2"/>
      <c r="B247" s="4" t="s">
        <v>199</v>
      </c>
      <c r="C247" s="1"/>
      <c r="D247" s="19">
        <f>SUM(D244:D245)</f>
        <v>105.07187923425624</v>
      </c>
      <c r="E247" s="19">
        <f t="shared" ref="E247:H247" si="73">SUM(E244:E245)</f>
        <v>130.93769629568442</v>
      </c>
      <c r="F247" s="19">
        <f t="shared" si="73"/>
        <v>138.47640294025555</v>
      </c>
      <c r="G247" s="19">
        <f t="shared" si="73"/>
        <v>147.05242768868487</v>
      </c>
      <c r="H247" s="19">
        <f t="shared" si="73"/>
        <v>118.61563046557644</v>
      </c>
    </row>
    <row r="248" spans="1:10" x14ac:dyDescent="0.2">
      <c r="A248" s="2"/>
      <c r="B248" s="2"/>
    </row>
    <row r="249" spans="1:10" ht="19" thickBot="1" x14ac:dyDescent="0.3">
      <c r="A249" s="2"/>
      <c r="B249" s="3" t="s">
        <v>11</v>
      </c>
    </row>
    <row r="250" spans="1:10" ht="17" thickTop="1" x14ac:dyDescent="0.2">
      <c r="A250" s="2"/>
      <c r="B250" s="2" t="s">
        <v>167</v>
      </c>
      <c r="D250">
        <f>D104</f>
        <v>0</v>
      </c>
      <c r="E250">
        <f t="shared" ref="E250:H250" si="74">E104</f>
        <v>27.071879234256251</v>
      </c>
      <c r="F250">
        <f t="shared" si="74"/>
        <v>28.890542282178895</v>
      </c>
      <c r="G250">
        <f t="shared" si="74"/>
        <v>31.269811137926151</v>
      </c>
      <c r="H250">
        <f t="shared" si="74"/>
        <v>33.824867406006099</v>
      </c>
    </row>
    <row r="251" spans="1:10" x14ac:dyDescent="0.2">
      <c r="A251" s="2"/>
      <c r="B251" s="2" t="s">
        <v>168</v>
      </c>
      <c r="D251">
        <f>D111</f>
        <v>37.926342720770002</v>
      </c>
      <c r="E251">
        <f t="shared" ref="E251:H251" si="75">E111</f>
        <v>40.816538630977647</v>
      </c>
      <c r="F251">
        <f t="shared" si="75"/>
        <v>44.36190399300299</v>
      </c>
      <c r="G251">
        <f t="shared" si="75"/>
        <v>47.986715168271267</v>
      </c>
      <c r="H251">
        <f t="shared" si="75"/>
        <v>0</v>
      </c>
      <c r="J251" t="s">
        <v>200</v>
      </c>
    </row>
    <row r="252" spans="1:10" x14ac:dyDescent="0.2">
      <c r="A252" s="2"/>
      <c r="B252" s="2" t="s">
        <v>169</v>
      </c>
      <c r="D252">
        <f>D189</f>
        <v>22.145536513486249</v>
      </c>
      <c r="E252">
        <f t="shared" ref="E252:H252" si="76">E189</f>
        <v>0</v>
      </c>
      <c r="F252">
        <f t="shared" si="76"/>
        <v>0</v>
      </c>
      <c r="G252">
        <f t="shared" si="76"/>
        <v>0</v>
      </c>
      <c r="H252">
        <f t="shared" si="76"/>
        <v>0</v>
      </c>
    </row>
    <row r="253" spans="1:10" x14ac:dyDescent="0.2">
      <c r="A253" s="2"/>
      <c r="B253" s="5" t="s">
        <v>170</v>
      </c>
      <c r="C253" s="14"/>
      <c r="D253" s="14">
        <f>SUM(D250:D252)</f>
        <v>60.071879234256251</v>
      </c>
      <c r="E253" s="14">
        <f t="shared" ref="E253:H253" si="77">SUM(E250:E252)</f>
        <v>67.88841786523389</v>
      </c>
      <c r="F253" s="14">
        <f t="shared" si="77"/>
        <v>73.252446275181882</v>
      </c>
      <c r="G253" s="14">
        <f t="shared" si="77"/>
        <v>79.256526306197415</v>
      </c>
      <c r="H253" s="14">
        <f t="shared" si="77"/>
        <v>33.824867406006099</v>
      </c>
    </row>
    <row r="254" spans="1:10" x14ac:dyDescent="0.2">
      <c r="A254" s="2"/>
      <c r="B254" s="2"/>
    </row>
    <row r="255" spans="1:10" x14ac:dyDescent="0.2">
      <c r="A255" s="2"/>
      <c r="B255" s="2" t="s">
        <v>171</v>
      </c>
      <c r="D255">
        <f>D211</f>
        <v>31.499999999999996</v>
      </c>
      <c r="E255">
        <f t="shared" ref="E255:H255" si="78">E211</f>
        <v>35.494013409962363</v>
      </c>
      <c r="F255">
        <f t="shared" si="78"/>
        <v>31.629612068966129</v>
      </c>
      <c r="G255">
        <f t="shared" si="78"/>
        <v>28.107622500632129</v>
      </c>
      <c r="H255">
        <f t="shared" si="78"/>
        <v>35.20737404423042</v>
      </c>
    </row>
    <row r="256" spans="1:10" x14ac:dyDescent="0.2">
      <c r="A256" s="2"/>
      <c r="B256" s="5" t="s">
        <v>172</v>
      </c>
      <c r="C256" s="14"/>
      <c r="D256" s="14">
        <f>D253+D255</f>
        <v>91.571879234256244</v>
      </c>
      <c r="E256" s="14">
        <f t="shared" ref="E256:H256" si="79">E253+E255</f>
        <v>103.38243127519625</v>
      </c>
      <c r="F256" s="14">
        <f t="shared" si="79"/>
        <v>104.88205834414801</v>
      </c>
      <c r="G256" s="14">
        <f t="shared" si="79"/>
        <v>107.36414880682955</v>
      </c>
      <c r="H256" s="14">
        <f t="shared" si="79"/>
        <v>69.032241450236512</v>
      </c>
    </row>
    <row r="257" spans="1:10" x14ac:dyDescent="0.2">
      <c r="A257" s="2"/>
    </row>
    <row r="258" spans="1:10" x14ac:dyDescent="0.2">
      <c r="A258" s="2"/>
      <c r="B258" s="2" t="s">
        <v>173</v>
      </c>
      <c r="D258">
        <f>D160</f>
        <v>13.500000000000002</v>
      </c>
      <c r="E258">
        <f>E160+D258</f>
        <v>16.561720032841016</v>
      </c>
      <c r="F258">
        <f t="shared" ref="F258:H258" si="80">F160+E258</f>
        <v>16.561720032841016</v>
      </c>
      <c r="G258">
        <f t="shared" si="80"/>
        <v>16.708467935410546</v>
      </c>
      <c r="H258">
        <f t="shared" si="80"/>
        <v>21.422065390493728</v>
      </c>
    </row>
    <row r="259" spans="1:10" x14ac:dyDescent="0.2">
      <c r="A259" s="2"/>
      <c r="B259" s="2" t="s">
        <v>174</v>
      </c>
      <c r="D259" s="11">
        <f>D233</f>
        <v>0</v>
      </c>
      <c r="E259" s="11">
        <f t="shared" ref="E259:H259" si="81">E233</f>
        <v>0</v>
      </c>
      <c r="F259" s="11">
        <f t="shared" si="81"/>
        <v>3.2980634962941204</v>
      </c>
      <c r="G259" s="11">
        <f t="shared" si="81"/>
        <v>7.4184318163858354</v>
      </c>
      <c r="H259" s="11">
        <f t="shared" si="81"/>
        <v>12.086845555403535</v>
      </c>
    </row>
    <row r="260" spans="1:10" x14ac:dyDescent="0.2">
      <c r="A260" s="2"/>
      <c r="B260" s="2" t="s">
        <v>175</v>
      </c>
      <c r="D260" s="11">
        <f>D230</f>
        <v>0</v>
      </c>
      <c r="E260" s="11">
        <f t="shared" ref="E260:H260" si="82">E230</f>
        <v>10.993544987647066</v>
      </c>
      <c r="F260" s="11">
        <f t="shared" si="82"/>
        <v>13.734561066972383</v>
      </c>
      <c r="G260" s="11">
        <f t="shared" si="82"/>
        <v>15.561379130059002</v>
      </c>
      <c r="H260" s="11">
        <f t="shared" si="82"/>
        <v>16.074478069442691</v>
      </c>
      <c r="J260" t="s">
        <v>211</v>
      </c>
    </row>
    <row r="261" spans="1:10" x14ac:dyDescent="0.2">
      <c r="A261" s="2"/>
      <c r="B261" s="2" t="s">
        <v>176</v>
      </c>
      <c r="D261">
        <f>D162</f>
        <v>0</v>
      </c>
      <c r="E261">
        <f t="shared" ref="E261:H261" si="83">E162</f>
        <v>0</v>
      </c>
      <c r="F261">
        <f t="shared" si="83"/>
        <v>0</v>
      </c>
      <c r="G261">
        <f t="shared" si="83"/>
        <v>0</v>
      </c>
      <c r="H261">
        <f t="shared" si="83"/>
        <v>0</v>
      </c>
    </row>
    <row r="262" spans="1:10" x14ac:dyDescent="0.2">
      <c r="A262" s="2"/>
      <c r="B262" s="5" t="s">
        <v>178</v>
      </c>
      <c r="C262" s="14"/>
      <c r="D262" s="14">
        <f>SUM(D258:D261)</f>
        <v>13.500000000000002</v>
      </c>
      <c r="E262" s="14">
        <f t="shared" ref="E262:H262" si="84">SUM(E258:E261)</f>
        <v>27.555265020488083</v>
      </c>
      <c r="F262" s="14">
        <f t="shared" si="84"/>
        <v>33.594344596107518</v>
      </c>
      <c r="G262" s="14">
        <f t="shared" si="84"/>
        <v>39.688278881855382</v>
      </c>
      <c r="H262" s="14">
        <f t="shared" si="84"/>
        <v>49.583389015339954</v>
      </c>
    </row>
    <row r="263" spans="1:10" x14ac:dyDescent="0.2">
      <c r="A263" s="2"/>
      <c r="B263" s="2"/>
    </row>
    <row r="264" spans="1:10" x14ac:dyDescent="0.2">
      <c r="A264" s="2"/>
      <c r="B264" s="4" t="s">
        <v>11</v>
      </c>
      <c r="C264" s="1"/>
      <c r="D264" s="1">
        <f>D256+D262</f>
        <v>105.07187923425624</v>
      </c>
      <c r="E264" s="1">
        <f t="shared" ref="E264:H264" si="85">E256+E262</f>
        <v>130.93769629568433</v>
      </c>
      <c r="F264" s="1">
        <f t="shared" si="85"/>
        <v>138.47640294025553</v>
      </c>
      <c r="G264" s="1">
        <f t="shared" si="85"/>
        <v>147.05242768868493</v>
      </c>
      <c r="H264" s="1">
        <f t="shared" si="85"/>
        <v>118.61563046557646</v>
      </c>
    </row>
    <row r="265" spans="1:10" x14ac:dyDescent="0.2">
      <c r="A265" s="2"/>
      <c r="B265" s="2"/>
    </row>
    <row r="266" spans="1:10" x14ac:dyDescent="0.2">
      <c r="A266" s="2"/>
      <c r="B266" s="22" t="s">
        <v>177</v>
      </c>
      <c r="C266" s="22"/>
      <c r="D266" s="23">
        <f>D247-D264</f>
        <v>0</v>
      </c>
      <c r="E266" s="23">
        <f t="shared" ref="E266:H266" si="86">E247-E264</f>
        <v>0</v>
      </c>
      <c r="F266" s="23">
        <f t="shared" si="86"/>
        <v>0</v>
      </c>
      <c r="G266" s="23">
        <f t="shared" si="86"/>
        <v>0</v>
      </c>
      <c r="H266" s="23">
        <f t="shared" si="86"/>
        <v>0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pareja09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yuransun@connect.hku.hk</dc:creator>
  <cp:lastModifiedBy>yuransun@connect.hku.hk</cp:lastModifiedBy>
  <dcterms:created xsi:type="dcterms:W3CDTF">2026-02-02T06:09:12Z</dcterms:created>
  <dcterms:modified xsi:type="dcterms:W3CDTF">2026-02-03T05:01:25Z</dcterms:modified>
</cp:coreProperties>
</file>